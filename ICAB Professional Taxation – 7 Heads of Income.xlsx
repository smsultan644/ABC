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from Employment" sheetId="1" state="visible" r:id="rId1"/>
    <sheet name="Income from Financial Assets" sheetId="2" state="visible" r:id="rId2"/>
    <sheet name="Income from Rent" sheetId="3" state="visible" r:id="rId3"/>
    <sheet name="Income from Agriculture" sheetId="4" state="visible" r:id="rId4"/>
    <sheet name="Income from Business" sheetId="5" state="visible" r:id="rId5"/>
    <sheet name="Capital Gain" sheetId="6" state="visible" r:id="rId6"/>
    <sheet name="Income from Other Sources" sheetId="7" state="visible" r:id="rId7"/>
    <sheet name="Comprehensive Tax Computation" sheetId="8" state="visible" r:id="rId8"/>
  </sheets>
  <definedNames>
    <definedName name="P_Threshold">'Comprehensive Tax Computation'!$B$23</definedName>
    <definedName name="P_EmpCap">'Comprehensive Tax Computation'!$B$24</definedName>
    <definedName name="P_AgriExempt">'Comprehensive Tax Computation'!$B$25</definedName>
    <definedName name="P_ListedCGExempt">'Comprehensive Tax Computation'!$B$26</definedName>
    <definedName name="P_DivRate">'Comprehensive Tax Computation'!$B$27</definedName>
    <definedName name="P_LotteryRate">'Comprehensive Tax Computation'!$B$28</definedName>
    <definedName name="P_CGLongRate">'Comprehensive Tax Computation'!$B$29</definedName>
    <definedName name="P_CGListedRate">'Comprehensive Tax Computation'!$B$30</definedName>
    <definedName name="P_AY">'Comprehensive Tax Computation'!$B$20</definedName>
    <definedName name="P_IY">'Comprehensive Tax Computation'!$B$19</definedName>
    <definedName name="P_Name">'Comprehensive Tax Computation'!$B$10</definedName>
    <definedName name="P_Status">'Comprehensive Tax Computation'!$B$12</definedName>
    <definedName name="P_Category">'Comprehensive Tax Computation'!$B$13</definedName>
    <definedName name="P_GovtEmp">'Comprehensive Tax Computation'!$B$18</definedName>
    <definedName name="P_ShareholderDir">'Comprehensive Tax Computation'!$B$17</definedName>
    <definedName name="OUT_EMP_TAXABLE">'Income from Employment'!$B$68</definedName>
    <definedName name="OUT_EMP_GROSS">'Income from Employment'!$D$62</definedName>
    <definedName name="OUT_EMP_EXEMPT">'Income from Employment'!$B$67</definedName>
    <definedName name="OUT_FIN_REGULAR">'Income from Financial Assets'!$B$43</definedName>
    <definedName name="OUT_FIN_DIVIDEND">'Income from Financial Assets'!$B$44</definedName>
    <definedName name="OUT_FIN_DIV_EXEMPT">'Income from Financial Assets'!$B$45</definedName>
    <definedName name="OUT_RENT_TAXABLE">'Income from Rent'!$B$52</definedName>
    <definedName name="OUT_RENT_SPECIAL">'Income from Rent'!$B$57</definedName>
    <definedName name="OUT_AGRI_TAXABLE">'Income from Agriculture'!$B$62</definedName>
    <definedName name="OUT_AGRI_EXEMPT">'Income from Agriculture'!$B$61</definedName>
    <definedName name="OUT_AGRI_GROSS">'Income from Agriculture'!$D$38</definedName>
    <definedName name="OUT_BUS_TAXABLE">'Income from Business'!$B$76</definedName>
    <definedName name="OUT_BUS_SPECIAL">'Income from Business'!$B$77</definedName>
    <definedName name="OUT_CG_REGULAR">'Capital Gain'!$B$50</definedName>
    <definedName name="OUT_CG_SPECIAL15">'Capital Gain'!$B$51</definedName>
    <definedName name="OUT_CG_EXEMPT">'Capital Gain'!$B$49</definedName>
    <definedName name="OUT_OS_REGULAR">'Income from Other Sources'!$E$39</definedName>
    <definedName name="OUT_OS_LOTTERY">'Income from Other Sources'!$F$39</definedName>
    <definedName name="OUT_OS_EXEMPT">'Income from Other Sources'!$G$39</definedName>
    <definedName name="S8_TotalIncome">'Comprehensive Tax Computation'!$B$93</definedName>
    <definedName name="S8_Regular">'Comprehensive Tax Computation'!$C$93</definedName>
    <definedName name="S8_TTI">'Comprehensive Tax Computation'!$B$95</definedName>
    <definedName name="_xlnm.Print_Titles" localSheetId="0">'Income from Employment'!$1:$4</definedName>
    <definedName name="_xlnm.Print_Titles" localSheetId="1">'Income from Financial Assets'!$1:$4</definedName>
    <definedName name="_xlnm.Print_Titles" localSheetId="2">'Income from Rent'!$1:$4</definedName>
    <definedName name="_xlnm.Print_Titles" localSheetId="3">'Income from Agriculture'!$1:$4</definedName>
    <definedName name="_xlnm.Print_Titles" localSheetId="4">'Income from Business'!$1:$4</definedName>
    <definedName name="_xlnm.Print_Titles" localSheetId="5">'Capital Gain'!$1:$4</definedName>
    <definedName name="_xlnm.Print_Titles" localSheetId="6">'Income from Other Sources'!$1:$4</definedName>
    <definedName name="_xlnm.Print_Titles" localSheetId="7">'Comprehensive Tax Computation'!$1:$4</definedName>
  </definedNames>
  <calcPr calcId="124519" calcMode="auto" fullCalcOnLoad="1"/>
</workbook>
</file>

<file path=xl/styles.xml><?xml version="1.0" encoding="utf-8"?>
<styleSheet xmlns="http://schemas.openxmlformats.org/spreadsheetml/2006/main">
  <numFmts count="2">
    <numFmt numFmtId="164" formatCode="#,##0;(#,##0);&quot;—&quot;"/>
    <numFmt numFmtId="165" formatCode="&quot;BDT &quot;#,##0"/>
  </numFmts>
  <fonts count="27">
    <font>
      <name val="Calibri"/>
      <family val="2"/>
      <color theme="1"/>
      <sz val="11"/>
      <scheme val="minor"/>
    </font>
    <font>
      <name val="Calibri"/>
      <b val="1"/>
      <color rgb="00FFFFFF"/>
      <sz val="14"/>
    </font>
    <font>
      <name val="Calibri"/>
      <i val="1"/>
      <color rgb="00FFFFFF"/>
      <sz val="9"/>
    </font>
    <font>
      <name val="Calibri"/>
      <b val="1"/>
      <color rgb="00FFFFFF"/>
      <sz val="8"/>
    </font>
    <font>
      <name val="Calibri"/>
      <b val="1"/>
      <color rgb="00D6E3F8"/>
      <sz val="8"/>
    </font>
    <font>
      <name val="Calibri"/>
      <b val="1"/>
      <color rgb="001F4E79"/>
      <sz val="8"/>
    </font>
    <font>
      <name val="Calibri"/>
      <b val="1"/>
      <color rgb="00006100"/>
      <sz val="8"/>
    </font>
    <font>
      <name val="Calibri"/>
      <b val="1"/>
      <color rgb="007F6000"/>
      <sz val="8"/>
    </font>
    <font>
      <name val="Calibri"/>
      <b val="1"/>
      <color rgb="00333333"/>
      <sz val="8"/>
    </font>
    <font>
      <name val="Calibri"/>
      <b val="1"/>
      <color rgb="00C00000"/>
      <sz val="8"/>
    </font>
    <font>
      <name val="Calibri"/>
      <b val="1"/>
      <color rgb="00FFFFFF"/>
      <sz val="12"/>
    </font>
    <font>
      <name val="Calibri"/>
      <color rgb="00000000"/>
      <sz val="9"/>
    </font>
    <font>
      <name val="Calibri"/>
      <b val="1"/>
      <color rgb="00FFFFFF"/>
      <sz val="10"/>
    </font>
    <font>
      <name val="Calibri"/>
      <b val="1"/>
      <color rgb="00000000"/>
      <sz val="10"/>
    </font>
    <font>
      <name val="Calibri"/>
      <color rgb="001F4E79"/>
      <sz val="10"/>
    </font>
    <font>
      <name val="Calibri"/>
      <b val="1"/>
      <color rgb="00006100"/>
      <sz val="10"/>
    </font>
    <font>
      <name val="Calibri"/>
      <i val="1"/>
      <color rgb="007F6000"/>
      <sz val="9"/>
    </font>
    <font>
      <name val="Calibri"/>
      <b val="1"/>
      <color rgb="00333333"/>
      <sz val="9"/>
    </font>
    <font>
      <name val="Calibri"/>
      <b val="1"/>
      <color rgb="00222222"/>
      <sz val="8"/>
    </font>
    <font>
      <name val="Calibri"/>
      <b val="1"/>
      <color rgb="007F7F7F"/>
      <sz val="8"/>
    </font>
    <font>
      <name val="Calibri"/>
      <b val="1"/>
      <color rgb="00000000"/>
      <sz val="8"/>
    </font>
    <font>
      <name val="Calibri"/>
      <color rgb="00000000"/>
      <sz val="8"/>
    </font>
    <font>
      <name val="Calibri"/>
      <color rgb="00000000"/>
      <sz val="10"/>
    </font>
    <font>
      <name val="Calibri"/>
      <b val="1"/>
      <color rgb="00FFFFFF"/>
      <sz val="11"/>
    </font>
    <font>
      <name val="Calibri"/>
      <b val="1"/>
      <color rgb="00C00000"/>
      <sz val="10"/>
    </font>
    <font>
      <name val="Calibri"/>
      <i val="1"/>
      <color rgb="000563C1"/>
      <sz val="8"/>
    </font>
    <font>
      <name val="Calibri"/>
      <i val="1"/>
      <color rgb="00C00000"/>
      <sz val="9"/>
    </font>
  </fonts>
  <fills count="19">
    <fill>
      <patternFill/>
    </fill>
    <fill>
      <patternFill patternType="gray125"/>
    </fill>
    <fill>
      <patternFill patternType="solid">
        <fgColor rgb="000D1B2A"/>
      </patternFill>
    </fill>
    <fill>
      <patternFill patternType="solid">
        <fgColor rgb="001B365D"/>
      </patternFill>
    </fill>
    <fill>
      <patternFill patternType="solid">
        <fgColor rgb="001F6F6A"/>
      </patternFill>
    </fill>
    <fill>
      <patternFill patternType="solid">
        <fgColor rgb="00243E73"/>
      </patternFill>
    </fill>
    <fill>
      <patternFill patternType="solid">
        <fgColor rgb="00F0F0F0"/>
      </patternFill>
    </fill>
    <fill>
      <patternFill patternType="solid">
        <fgColor rgb="00DCE6F1"/>
      </patternFill>
    </fill>
    <fill>
      <patternFill patternType="solid">
        <fgColor rgb="00C6EFCE"/>
      </patternFill>
    </fill>
    <fill>
      <patternFill patternType="solid">
        <fgColor rgb="00FFF2CC"/>
      </patternFill>
    </fill>
    <fill>
      <patternFill patternType="solid">
        <fgColor rgb="00D9D9D9"/>
      </patternFill>
    </fill>
    <fill>
      <patternFill patternType="solid">
        <fgColor rgb="00F8CBAD"/>
      </patternFill>
    </fill>
    <fill>
      <patternFill patternType="solid">
        <fgColor rgb="002E5090"/>
      </patternFill>
    </fill>
    <fill>
      <patternFill patternType="solid">
        <fgColor rgb="00E8EEF7"/>
      </patternFill>
    </fill>
    <fill>
      <patternFill patternType="solid">
        <fgColor rgb="004A6FA5"/>
      </patternFill>
    </fill>
    <fill>
      <patternFill patternType="solid">
        <fgColor rgb="00F4F7FB"/>
      </patternFill>
    </fill>
    <fill>
      <patternFill patternType="solid">
        <fgColor rgb="00FFFFFF"/>
      </patternFill>
    </fill>
    <fill>
      <patternFill patternType="solid">
        <fgColor rgb="00FDF3E7"/>
      </patternFill>
    </fill>
    <fill>
      <patternFill patternType="solid">
        <fgColor rgb="00E6F3F2"/>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
      <left/>
      <right/>
      <top style="thin">
        <color rgb="00B0B0B0"/>
      </top>
      <bottom style="thin">
        <color rgb="00B0B0B0"/>
      </bottom>
      <diagonal/>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left" vertical="center" indent="1"/>
    </xf>
    <xf numFmtId="0" fontId="1" fillId="2" borderId="0" pivotButton="0" quotePrefix="0" xfId="0"/>
    <xf numFmtId="0" fontId="2" fillId="3" borderId="0" applyAlignment="1" pivotButton="0" quotePrefix="0" xfId="0">
      <alignment vertical="center" indent="1"/>
    </xf>
    <xf numFmtId="0" fontId="2" fillId="3" borderId="0" pivotButton="0" quotePrefix="0" xfId="0"/>
    <xf numFmtId="0" fontId="4" fillId="5"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5" borderId="0" pivotButton="0" quotePrefix="0" xfId="0"/>
    <xf numFmtId="0" fontId="5" fillId="7" borderId="1" applyAlignment="1" pivotButton="0" quotePrefix="0" xfId="0">
      <alignment horizontal="left" vertical="center" wrapText="1"/>
    </xf>
    <xf numFmtId="0" fontId="0" fillId="7" borderId="1" pivotButton="0" quotePrefix="0" xfId="0"/>
    <xf numFmtId="0" fontId="6" fillId="8" borderId="1" applyAlignment="1" pivotButton="0" quotePrefix="0" xfId="0">
      <alignment horizontal="left" vertical="center" wrapText="1"/>
    </xf>
    <xf numFmtId="0" fontId="0" fillId="8" borderId="1" pivotButton="0" quotePrefix="0" xfId="0"/>
    <xf numFmtId="0" fontId="7" fillId="9" borderId="1" applyAlignment="1" pivotButton="0" quotePrefix="0" xfId="0">
      <alignment horizontal="left" vertical="center" wrapText="1"/>
    </xf>
    <xf numFmtId="0" fontId="0" fillId="9" borderId="1" pivotButton="0" quotePrefix="0" xfId="0"/>
    <xf numFmtId="0" fontId="8" fillId="10" borderId="1" applyAlignment="1" pivotButton="0" quotePrefix="0" xfId="0">
      <alignment horizontal="left" vertical="center" wrapText="1"/>
    </xf>
    <xf numFmtId="0" fontId="0" fillId="10" borderId="1" pivotButton="0" quotePrefix="0" xfId="0"/>
    <xf numFmtId="0" fontId="9" fillId="11" borderId="1" applyAlignment="1" pivotButton="0" quotePrefix="0" xfId="0">
      <alignment horizontal="left" vertical="center" wrapText="1"/>
    </xf>
    <xf numFmtId="0" fontId="0" fillId="11" borderId="1" pivotButton="0" quotePrefix="0" xfId="0"/>
    <xf numFmtId="0" fontId="0" fillId="6" borderId="1" pivotButton="0" quotePrefix="0" xfId="0"/>
    <xf numFmtId="0" fontId="13" fillId="0" borderId="1" applyAlignment="1" pivotButton="0" quotePrefix="0" xfId="0">
      <alignment horizontal="left" vertical="center" wrapText="1"/>
    </xf>
    <xf numFmtId="0" fontId="15" fillId="8" borderId="1" applyAlignment="1" pivotButton="0" quotePrefix="0" xfId="0">
      <alignment horizontal="left" vertical="center" wrapText="1"/>
    </xf>
    <xf numFmtId="0" fontId="0" fillId="0" borderId="5" pivotButton="0" quotePrefix="0" xfId="0"/>
    <xf numFmtId="0" fontId="0" fillId="0" borderId="4" pivotButton="0" quotePrefix="0" xfId="0"/>
    <xf numFmtId="0" fontId="10" fillId="12" borderId="0" applyAlignment="1" pivotButton="0" quotePrefix="0" xfId="0">
      <alignment vertical="center"/>
    </xf>
    <xf numFmtId="0" fontId="11" fillId="13" borderId="0" applyAlignment="1" pivotButton="0" quotePrefix="0" xfId="0">
      <alignment horizontal="left" vertical="top" wrapText="1"/>
    </xf>
    <xf numFmtId="0" fontId="0" fillId="13" borderId="0" pivotButton="0" quotePrefix="0" xfId="0"/>
    <xf numFmtId="0" fontId="3" fillId="3" borderId="1" applyAlignment="1" pivotButton="0" quotePrefix="0" xfId="0">
      <alignment horizontal="center" vertical="center" wrapText="1"/>
    </xf>
    <xf numFmtId="0" fontId="21" fillId="15" borderId="1" applyAlignment="1" pivotButton="0" quotePrefix="0" xfId="0">
      <alignment horizontal="left" vertical="top" wrapText="1"/>
    </xf>
    <xf numFmtId="0" fontId="21" fillId="15" borderId="1" pivotButton="0" quotePrefix="0" xfId="0"/>
    <xf numFmtId="0" fontId="21" fillId="16" borderId="1" applyAlignment="1" pivotButton="0" quotePrefix="0" xfId="0">
      <alignment horizontal="left" vertical="top" wrapText="1"/>
    </xf>
    <xf numFmtId="0" fontId="21" fillId="16" borderId="1" pivotButton="0" quotePrefix="0" xfId="0"/>
    <xf numFmtId="0" fontId="9" fillId="11" borderId="1" applyAlignment="1" pivotButton="0" quotePrefix="0" xfId="0">
      <alignment horizontal="left" vertical="top" wrapText="1"/>
    </xf>
    <xf numFmtId="0" fontId="11" fillId="17" borderId="0" applyAlignment="1" pivotButton="0" quotePrefix="0" xfId="0">
      <alignment horizontal="left" vertical="top" wrapText="1"/>
    </xf>
    <xf numFmtId="0" fontId="0" fillId="17" borderId="0" pivotButton="0" quotePrefix="0" xfId="0"/>
    <xf numFmtId="0" fontId="22" fillId="0" borderId="1" applyAlignment="1" pivotButton="0" quotePrefix="0" xfId="0">
      <alignment horizontal="left" vertical="center" wrapText="1"/>
    </xf>
    <xf numFmtId="164" fontId="14" fillId="7" borderId="1" applyAlignment="1" pivotButton="0" quotePrefix="0" xfId="0">
      <alignment horizontal="right" vertical="center"/>
    </xf>
    <xf numFmtId="0" fontId="14" fillId="7" borderId="1" applyAlignment="1" pivotButton="0" quotePrefix="0" xfId="0">
      <alignment horizontal="left" vertical="center" wrapText="1"/>
    </xf>
    <xf numFmtId="164" fontId="15" fillId="8" borderId="1" applyAlignment="1" pivotButton="0" quotePrefix="0" xfId="0">
      <alignment horizontal="right" vertical="center"/>
    </xf>
    <xf numFmtId="0" fontId="16" fillId="9" borderId="1" applyAlignment="1" pivotButton="0" quotePrefix="0" xfId="0">
      <alignment horizontal="left" vertical="top" wrapText="1"/>
    </xf>
    <xf numFmtId="49" fontId="15" fillId="8" borderId="1" applyAlignment="1" pivotButton="0" quotePrefix="0" xfId="0">
      <alignment horizontal="left" vertical="center" wrapText="1"/>
    </xf>
    <xf numFmtId="0" fontId="12" fillId="3" borderId="1" applyAlignment="1" pivotButton="0" quotePrefix="0" xfId="0">
      <alignment horizontal="left" vertical="center" wrapText="1"/>
    </xf>
    <xf numFmtId="164" fontId="12" fillId="3" borderId="1" applyAlignment="1" pivotButton="0" quotePrefix="0" xfId="0">
      <alignment horizontal="right" vertical="center"/>
    </xf>
    <xf numFmtId="0" fontId="12" fillId="14" borderId="0" pivotButton="0" quotePrefix="0" xfId="0"/>
    <xf numFmtId="0" fontId="12" fillId="4" borderId="1" applyAlignment="1" pivotButton="0" quotePrefix="0" xfId="0">
      <alignment horizontal="left" vertical="center" wrapText="1"/>
    </xf>
    <xf numFmtId="164" fontId="12" fillId="4" borderId="1" applyAlignment="1" pivotButton="0" quotePrefix="0" xfId="0">
      <alignment horizontal="right" vertical="center"/>
    </xf>
    <xf numFmtId="0" fontId="10" fillId="4" borderId="1" applyAlignment="1" pivotButton="0" quotePrefix="0" xfId="0">
      <alignment horizontal="left" vertical="center" wrapText="1"/>
    </xf>
    <xf numFmtId="164" fontId="10" fillId="4" borderId="1" applyAlignment="1" pivotButton="0" quotePrefix="0" xfId="0">
      <alignment horizontal="right" vertical="center"/>
    </xf>
    <xf numFmtId="0" fontId="3" fillId="14" borderId="1" applyAlignment="1" pivotButton="0" quotePrefix="0" xfId="0">
      <alignment horizontal="center" vertical="center" wrapText="1"/>
    </xf>
    <xf numFmtId="0" fontId="11" fillId="18" borderId="0" applyAlignment="1" pivotButton="0" quotePrefix="0" xfId="0">
      <alignment horizontal="left" vertical="top" wrapText="1"/>
    </xf>
    <xf numFmtId="0" fontId="0" fillId="18" borderId="0" pivotButton="0" quotePrefix="0" xfId="0"/>
    <xf numFmtId="0" fontId="23" fillId="4" borderId="1" applyAlignment="1" pivotButton="0" quotePrefix="0" xfId="0">
      <alignment horizontal="left" vertical="center" wrapText="1"/>
    </xf>
    <xf numFmtId="165" fontId="23" fillId="4" borderId="1" applyAlignment="1" pivotButton="0" quotePrefix="0" xfId="0">
      <alignment horizontal="right" vertical="center"/>
    </xf>
    <xf numFmtId="0" fontId="11" fillId="16" borderId="0" applyAlignment="1" pivotButton="0" quotePrefix="0" xfId="0">
      <alignment horizontal="left" vertical="top" wrapText="1"/>
    </xf>
    <xf numFmtId="0" fontId="0" fillId="16" borderId="0" pivotButton="0" quotePrefix="0" xfId="0"/>
    <xf numFmtId="0" fontId="11" fillId="15" borderId="0" applyAlignment="1" pivotButton="0" quotePrefix="0" xfId="0">
      <alignment horizontal="left" vertical="top" wrapText="1"/>
    </xf>
    <xf numFmtId="0" fontId="0" fillId="15" borderId="0" pivotButton="0" quotePrefix="0" xfId="0"/>
    <xf numFmtId="0" fontId="11" fillId="9" borderId="0" applyAlignment="1" pivotButton="0" quotePrefix="0" xfId="0">
      <alignment horizontal="left" vertical="top" wrapText="1"/>
    </xf>
    <xf numFmtId="0" fontId="0" fillId="9" borderId="0" pivotButton="0" quotePrefix="0" xfId="0"/>
    <xf numFmtId="0" fontId="11" fillId="0" borderId="0" applyAlignment="1" pivotButton="0" quotePrefix="0" xfId="0">
      <alignment horizontal="left" vertical="top" wrapText="1"/>
    </xf>
    <xf numFmtId="0" fontId="21" fillId="11" borderId="1" applyAlignment="1" pivotButton="0" quotePrefix="0" xfId="0">
      <alignment horizontal="left" vertical="top" wrapText="1"/>
    </xf>
    <xf numFmtId="9" fontId="15" fillId="8" borderId="1" applyAlignment="1" pivotButton="0" quotePrefix="0" xfId="0">
      <alignment horizontal="left" vertical="center" wrapText="1"/>
    </xf>
    <xf numFmtId="0" fontId="24" fillId="11" borderId="1" applyAlignment="1" pivotButton="0" quotePrefix="0" xfId="0">
      <alignment horizontal="left" vertical="center" wrapText="1"/>
    </xf>
    <xf numFmtId="0" fontId="19" fillId="10" borderId="0" pivotButton="0" quotePrefix="0" xfId="0"/>
    <xf numFmtId="0" fontId="20" fillId="10" borderId="0" pivotButton="0" quotePrefix="0" xfId="0"/>
    <xf numFmtId="0" fontId="21" fillId="10" borderId="1" pivotButton="0" quotePrefix="0" xfId="0"/>
    <xf numFmtId="164" fontId="21" fillId="10" borderId="1" pivotButton="0" quotePrefix="0" xfId="0"/>
    <xf numFmtId="10" fontId="14" fillId="7" borderId="1" applyAlignment="1" pivotButton="0" quotePrefix="0" xfId="0">
      <alignment horizontal="right" vertical="center"/>
    </xf>
    <xf numFmtId="9" fontId="14" fillId="7" borderId="1" applyAlignment="1" pivotButton="0" quotePrefix="0" xfId="0">
      <alignment horizontal="left" vertical="center" wrapText="1"/>
    </xf>
    <xf numFmtId="49" fontId="16" fillId="9" borderId="1" applyAlignment="1" pivotButton="0" quotePrefix="0" xfId="0">
      <alignment horizontal="left" vertical="top" wrapText="1"/>
    </xf>
    <xf numFmtId="0" fontId="25" fillId="0" borderId="0" applyAlignment="1" pivotButton="0" quotePrefix="0" xfId="0">
      <alignment horizontal="center" vertical="center" wrapText="1"/>
    </xf>
    <xf numFmtId="164" fontId="23" fillId="4" borderId="1" applyAlignment="1" pivotButton="0" quotePrefix="0" xfId="0">
      <alignment horizontal="right" vertical="center"/>
    </xf>
    <xf numFmtId="0" fontId="23" fillId="3" borderId="1" applyAlignment="1" pivotButton="0" quotePrefix="0" xfId="0">
      <alignment horizontal="left" vertical="center" wrapText="1"/>
    </xf>
    <xf numFmtId="164" fontId="23" fillId="3" borderId="1" applyAlignment="1" pivotButton="0" quotePrefix="0" xfId="0">
      <alignment horizontal="right" vertical="center"/>
    </xf>
    <xf numFmtId="0" fontId="26" fillId="11" borderId="0" applyAlignment="1" pivotButton="0" quotePrefix="0" xfId="0">
      <alignment horizontal="left" vertical="top" wrapText="1"/>
    </xf>
    <xf numFmtId="0" fontId="0" fillId="11" borderId="0" pivotButton="0" quotePrefix="0" xfId="0"/>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2.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3.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4.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5.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6.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7.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s>
</file>

<file path=xl/worksheets/_rels/sheet8.xml.rels><Relationships xmlns="http://schemas.openxmlformats.org/package/2006/relationships"><Relationship Type="http://schemas.openxmlformats.org/officeDocument/2006/relationships/hyperlink" Target="#'Comprehensive Tax Computation'!A1" TargetMode="External" Id="rId1" /><Relationship Type="http://schemas.openxmlformats.org/officeDocument/2006/relationships/hyperlink" Target="#'Income from Employment'!A1" TargetMode="External" Id="rId2" /><Relationship Type="http://schemas.openxmlformats.org/officeDocument/2006/relationships/hyperlink" Target="#'Income from Financial Assets'!A1" TargetMode="External" Id="rId3" /><Relationship Type="http://schemas.openxmlformats.org/officeDocument/2006/relationships/hyperlink" Target="#'Income from Rent'!A1" TargetMode="External" Id="rId4" /><Relationship Type="http://schemas.openxmlformats.org/officeDocument/2006/relationships/hyperlink" Target="#'Income from Agriculture'!A1" TargetMode="External" Id="rId5" /><Relationship Type="http://schemas.openxmlformats.org/officeDocument/2006/relationships/hyperlink" Target="#'Income from Business'!A1" TargetMode="External" Id="rId6" /><Relationship Type="http://schemas.openxmlformats.org/officeDocument/2006/relationships/hyperlink" Target="#'Capital Gain'!A1" TargetMode="External" Id="rId7" /><Relationship Type="http://schemas.openxmlformats.org/officeDocument/2006/relationships/hyperlink" Target="#'Income from Other Sources'!A1" TargetMode="External" Id="rId8" /><Relationship Type="http://schemas.openxmlformats.org/officeDocument/2006/relationships/hyperlink" Target="#'Income from Employment'!A1" TargetMode="External" Id="rId9" /><Relationship Type="http://schemas.openxmlformats.org/officeDocument/2006/relationships/hyperlink" Target="#'Income from Financial Assets'!A1" TargetMode="External" Id="rId10" /><Relationship Type="http://schemas.openxmlformats.org/officeDocument/2006/relationships/hyperlink" Target="#'Income from Financial Assets'!A1" TargetMode="External" Id="rId11" /><Relationship Type="http://schemas.openxmlformats.org/officeDocument/2006/relationships/hyperlink" Target="#'Income from Rent'!A1" TargetMode="External" Id="rId12" /><Relationship Type="http://schemas.openxmlformats.org/officeDocument/2006/relationships/hyperlink" Target="#'Income from Rent'!A1" TargetMode="External" Id="rId13" /><Relationship Type="http://schemas.openxmlformats.org/officeDocument/2006/relationships/hyperlink" Target="#'Income from Agriculture'!A1" TargetMode="External" Id="rId14" /><Relationship Type="http://schemas.openxmlformats.org/officeDocument/2006/relationships/hyperlink" Target="#'Income from Business'!A1" TargetMode="External" Id="rId15" /><Relationship Type="http://schemas.openxmlformats.org/officeDocument/2006/relationships/hyperlink" Target="#'Income from Business'!A1" TargetMode="External" Id="rId16" /><Relationship Type="http://schemas.openxmlformats.org/officeDocument/2006/relationships/hyperlink" Target="#'Capital Gain'!A1" TargetMode="External" Id="rId17" /><Relationship Type="http://schemas.openxmlformats.org/officeDocument/2006/relationships/hyperlink" Target="#'Capital Gain'!A1" TargetMode="External" Id="rId18" /><Relationship Type="http://schemas.openxmlformats.org/officeDocument/2006/relationships/hyperlink" Target="#'Income from Other Sources'!A1" TargetMode="External" Id="rId19" /><Relationship Type="http://schemas.openxmlformats.org/officeDocument/2006/relationships/hyperlink" Target="#'Income from Other Sources'!A1" TargetMode="External" Id="rId20" /></Relationships>
</file>

<file path=xl/worksheets/sheet1.xml><?xml version="1.0" encoding="utf-8"?>
<worksheet xmlns="http://schemas.openxmlformats.org/spreadsheetml/2006/main">
  <sheetPr>
    <tabColor rgb="001B365D"/>
    <outlinePr summaryBelow="1" summaryRight="1"/>
    <pageSetUpPr fitToPage="1"/>
  </sheetPr>
  <dimension ref="A1:L117"/>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EMPLOYMENT  ·  ALL AMOUNTS IN BDT (৳)</t>
        </is>
      </c>
      <c r="B1" s="2" t="n"/>
      <c r="C1" s="2" t="n"/>
      <c r="D1" s="2" t="n"/>
      <c r="E1" s="2" t="n"/>
      <c r="F1" s="2" t="n"/>
      <c r="G1" s="2" t="n"/>
      <c r="H1" s="2" t="n"/>
      <c r="I1" s="2" t="n"/>
      <c r="J1" s="2" t="n"/>
      <c r="K1" s="2" t="n"/>
      <c r="L1" s="2" t="n"/>
    </row>
    <row r="2" ht="16" customHeight="1">
      <c r="A2" s="3" t="inlineStr">
        <is>
          <t>ITA 2023  Chapter II  ss.32–34  |  Exemption: Sixth Schedule Part A (lower of 1/3 of employment income or the cap on the Home sheet)  |  Valuation of perquisites: s.33</t>
        </is>
      </c>
      <c r="B2" s="4" t="n"/>
      <c r="C2" s="4" t="n"/>
      <c r="D2" s="4" t="n"/>
      <c r="E2" s="4" t="n"/>
      <c r="F2" s="4" t="n"/>
      <c r="G2" s="4" t="n"/>
      <c r="H2" s="4" t="n"/>
      <c r="I2" s="4" t="n"/>
      <c r="J2" s="4" t="n"/>
      <c r="K2" s="4" t="n"/>
      <c r="L2" s="4" t="n"/>
    </row>
    <row r="3" ht="18" customHeight="1">
      <c r="A3" s="5" t="inlineStr">
        <is>
          <t>HOME / Summary</t>
        </is>
      </c>
      <c r="B3" s="6" t="inlineStr">
        <is>
          <t>Employment</t>
        </is>
      </c>
      <c r="C3" s="5" t="inlineStr">
        <is>
          <t>Financial Assets</t>
        </is>
      </c>
      <c r="D3" s="5" t="inlineStr">
        <is>
          <t>Rent</t>
        </is>
      </c>
      <c r="E3" s="5" t="inlineStr">
        <is>
          <t>Agriculture</t>
        </is>
      </c>
      <c r="F3" s="5"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28" customHeight="1">
      <c r="A9" s="24" t="inlineStr">
        <is>
          <t>•  Definition: Income from employment is the residual of monetary receipts, salaries and benefits from an office or employment, including employee-share-scheme income, untaxed arrear salary, and amounts received from a past or future employer (s.32(1)).</t>
        </is>
      </c>
      <c r="B9" s="25" t="n"/>
      <c r="C9" s="25" t="n"/>
      <c r="D9" s="25" t="n"/>
      <c r="E9" s="25" t="n"/>
      <c r="F9" s="25" t="n"/>
      <c r="G9" s="25" t="n"/>
      <c r="H9" s="25" t="n"/>
      <c r="I9" s="25" t="n"/>
      <c r="J9" s="25" t="n"/>
      <c r="K9" s="25" t="n"/>
      <c r="L9" s="25" t="n"/>
    </row>
    <row r="10" ht="28" customHeight="1">
      <c r="A10" s="24" t="inlineStr">
        <is>
          <t>•  What falls here: basic salary, wages, allowances, festival and incentive bonus, overtime, leave encashment, commission, advance and arrear salary, perquisites (including incentive bonus), profit in lieu of salary (e.g. termination compensation), and the value of accommodation / vehicle / other benefits.</t>
        </is>
      </c>
      <c r="B10" s="25" t="n"/>
      <c r="C10" s="25" t="n"/>
      <c r="D10" s="25" t="n"/>
      <c r="E10" s="25" t="n"/>
      <c r="F10" s="25" t="n"/>
      <c r="G10" s="25" t="n"/>
      <c r="H10" s="25" t="n"/>
      <c r="I10" s="25" t="n"/>
      <c r="J10" s="25" t="n"/>
      <c r="K10" s="25" t="n"/>
      <c r="L10" s="25" t="n"/>
    </row>
    <row r="11" ht="28" customHeight="1">
      <c r="A11" s="24" t="inlineStr">
        <is>
          <t>•  Important exclusions (s.32(2) — these never enter gross employment income): (a) medical expenses for heart, kidney, eye, liver or cancer operations of an employee who is NOT a shareholder-director; (b) conveyance, travelling and daily allowance received wholly and exclusively for the performance of duties.</t>
        </is>
      </c>
      <c r="B11" s="25" t="n"/>
      <c r="C11" s="25" t="n"/>
      <c r="D11" s="25" t="n"/>
      <c r="E11" s="25" t="n"/>
      <c r="F11" s="25" t="n"/>
      <c r="G11" s="25" t="n"/>
      <c r="H11" s="25" t="n"/>
      <c r="I11" s="25" t="n"/>
      <c r="J11" s="25" t="n"/>
      <c r="K11" s="25" t="n"/>
      <c r="L11" s="25" t="n"/>
    </row>
    <row r="12" ht="28" customHeight="1">
      <c r="A12" s="24" t="inlineStr">
        <is>
          <t>•  Employer reimbursements incurred wholly and necessarily for duties, and group-insurance receipts, are also commonly excluded / exempt — confirm the Sixth Schedule paragraph in your reprint.</t>
        </is>
      </c>
      <c r="B12" s="25" t="n"/>
      <c r="C12" s="25" t="n"/>
      <c r="D12" s="25" t="n"/>
      <c r="E12" s="25" t="n"/>
      <c r="F12" s="25" t="n"/>
      <c r="G12" s="25" t="n"/>
      <c r="H12" s="25" t="n"/>
      <c r="I12" s="25" t="n"/>
      <c r="J12" s="25" t="n"/>
      <c r="K12" s="25" t="n"/>
      <c r="L12" s="25" t="n"/>
    </row>
    <row r="13" ht="28" customHeight="1">
      <c r="A13" s="24" t="inlineStr">
        <is>
          <t>•  ITA 2023 change (exam favourite): the old separate exemptions for house-rent allowance, medical allowance and conveyance allowance have been REPLACED by a single exemption — lower of one-third of income from employment or the statutory cap (BDT 500,000 under FO 2025). Do not apply the old ITO 1984 HRA/medical/conveyance limits unless the question is set under the old Ordinance.</t>
        </is>
      </c>
      <c r="B13" s="25" t="n"/>
      <c r="C13" s="25" t="n"/>
      <c r="D13" s="25" t="n"/>
      <c r="E13" s="25" t="n"/>
      <c r="F13" s="25" t="n"/>
      <c r="G13" s="25" t="n"/>
      <c r="H13" s="25" t="n"/>
      <c r="I13" s="25" t="n"/>
      <c r="J13" s="25" t="n"/>
      <c r="K13" s="25" t="n"/>
      <c r="L13" s="25" t="n"/>
    </row>
    <row r="14" ht="28" customHeight="1">
      <c r="A14" s="24" t="inlineStr">
        <is>
          <t>•  Perquisite (s.32): any payment or benefit including incentive bonus, but NOT basic, arrear, advance, festival allowance, leave encashment, overtime, or contributions to recognised PF / approved pension / gratuity / superannuation funds.</t>
        </is>
      </c>
      <c r="B14" s="25" t="n"/>
      <c r="C14" s="25" t="n"/>
      <c r="D14" s="25" t="n"/>
      <c r="E14" s="25" t="n"/>
      <c r="F14" s="25" t="n"/>
      <c r="G14" s="25" t="n"/>
      <c r="H14" s="25" t="n"/>
      <c r="I14" s="25" t="n"/>
      <c r="J14" s="25" t="n"/>
      <c r="K14" s="25" t="n"/>
      <c r="L14" s="25" t="n"/>
    </row>
    <row r="15" ht="28" customHeight="1">
      <c r="A15" s="24" t="inlineStr">
        <is>
          <t>•  Valuation (s.33): rent-free accommodation = annual cost / rent paid by employer; concessional accommodation = that amount minus rent paid by employee. Vehicle (personal use) is a monthly statutory amount by engine capacity (see calculator below).</t>
        </is>
      </c>
      <c r="B15" s="25" t="n"/>
      <c r="C15" s="25" t="n"/>
      <c r="D15" s="25" t="n"/>
      <c r="E15" s="25" t="n"/>
      <c r="F15" s="25" t="n"/>
      <c r="G15" s="25" t="n"/>
      <c r="H15" s="25" t="n"/>
      <c r="I15" s="25" t="n"/>
      <c r="J15" s="25" t="n"/>
      <c r="K15" s="25" t="n"/>
      <c r="L15" s="25" t="n"/>
    </row>
    <row r="16" ht="28" customHeight="1">
      <c r="A16" s="24" t="inlineStr">
        <is>
          <t>•  ICAB points: (1) 1/3 is of employment income AFTER s.32(2) exclusions, not of CTC. (2) Employee PF is part of salary already; it is not a second deduction here — it may be an investment rebate on the Home sheet. (3) Employer's contribution to a recognised fund is generally not taxed as employment income — VERIFY. (4) TDS u/s 86 is a credit, not a deduction. (5) Government-employee notifications can be more generous — do not apply them to a private employee.</t>
        </is>
      </c>
      <c r="B16" s="25" t="n"/>
      <c r="C16" s="25" t="n"/>
      <c r="D16" s="25" t="n"/>
      <c r="E16" s="25" t="n"/>
      <c r="F16" s="25" t="n"/>
      <c r="G16" s="25" t="n"/>
      <c r="H16" s="25" t="n"/>
      <c r="I16" s="25" t="n"/>
      <c r="J16" s="25" t="n"/>
      <c r="K16" s="25" t="n"/>
      <c r="L16" s="25" t="n"/>
    </row>
    <row r="18" ht="20" customHeight="1">
      <c r="A18" s="23" t="inlineStr">
        <is>
          <t xml:space="preserve">  B   TYPES OF INCOME  —  TAX TREATMENT</t>
        </is>
      </c>
      <c r="B18" s="23" t="n"/>
      <c r="C18" s="23" t="n"/>
      <c r="D18" s="23" t="n"/>
      <c r="E18" s="23" t="n"/>
      <c r="F18" s="23" t="n"/>
      <c r="G18" s="23" t="n"/>
      <c r="H18" s="23" t="n"/>
      <c r="I18" s="23" t="n"/>
      <c r="J18" s="23" t="n"/>
      <c r="K18" s="23" t="n"/>
      <c r="L18" s="23" t="n"/>
    </row>
    <row r="19" ht="28" customHeight="1">
      <c r="A19" s="26" t="inlineStr">
        <is>
          <t>Particular</t>
        </is>
      </c>
      <c r="B19" s="26" t="inlineStr">
        <is>
          <t>Tax treatment</t>
        </is>
      </c>
      <c r="C19" s="26" t="inlineStr">
        <is>
          <t>Relevant provision</t>
        </is>
      </c>
      <c r="D19" s="26" t="inlineStr">
        <is>
          <t>Example / exam note</t>
        </is>
      </c>
      <c r="E19" s="26" t="inlineStr"/>
      <c r="F19" s="26" t="inlineStr"/>
      <c r="G19" s="26" t="inlineStr"/>
      <c r="H19" s="26" t="inlineStr"/>
      <c r="I19" s="26" t="inlineStr"/>
      <c r="J19" s="26" t="inlineStr"/>
      <c r="K19" s="26" t="inlineStr"/>
      <c r="L19" s="26" t="inlineStr"/>
    </row>
    <row r="20" ht="18" customHeight="1">
      <c r="A20" s="27" t="inlineStr">
        <is>
          <t>Basic salary / wages</t>
        </is>
      </c>
      <c r="B20" s="27" t="inlineStr">
        <is>
          <t>Fully included</t>
        </is>
      </c>
      <c r="C20" s="27" t="inlineStr">
        <is>
          <t>s.32(1) / definition of salary</t>
        </is>
      </c>
      <c r="D20" s="27" t="inlineStr">
        <is>
          <t>Starting point of every employment computation.</t>
        </is>
      </c>
      <c r="E20" s="28" t="n"/>
      <c r="F20" s="28" t="n"/>
      <c r="G20" s="28" t="n"/>
      <c r="H20" s="28" t="n"/>
      <c r="I20" s="28" t="n"/>
      <c r="J20" s="28" t="n"/>
      <c r="K20" s="28" t="n"/>
      <c r="L20" s="28" t="n"/>
    </row>
    <row r="21" ht="18" customHeight="1">
      <c r="A21" s="29" t="inlineStr">
        <is>
          <t>House rent allowance (cash)</t>
        </is>
      </c>
      <c r="B21" s="29" t="inlineStr">
        <is>
          <t>Included; no separate HRA exemption</t>
        </is>
      </c>
      <c r="C21" s="29" t="inlineStr">
        <is>
          <t>s.32; Sixth Schedule Part A</t>
        </is>
      </c>
      <c r="D21" s="29" t="inlineStr">
        <is>
          <t>Covered only by the composite 1/3 exemption.</t>
        </is>
      </c>
      <c r="E21" s="30" t="n"/>
      <c r="F21" s="30" t="n"/>
      <c r="G21" s="30" t="n"/>
      <c r="H21" s="30" t="n"/>
      <c r="I21" s="30" t="n"/>
      <c r="J21" s="30" t="n"/>
      <c r="K21" s="30" t="n"/>
      <c r="L21" s="30" t="n"/>
    </row>
    <row r="22" ht="18" customHeight="1">
      <c r="A22" s="27" t="inlineStr">
        <is>
          <t>Medical allowance (ordinary)</t>
        </is>
      </c>
      <c r="B22" s="27" t="inlineStr">
        <is>
          <t>Included; no separate exemption</t>
        </is>
      </c>
      <c r="C22" s="27" t="inlineStr">
        <is>
          <t>s.32; Sixth Schedule Part A</t>
        </is>
      </c>
      <c r="D22" s="27" t="inlineStr">
        <is>
          <t>Do not apply the old 10% / BDT 120,000 rule.</t>
        </is>
      </c>
      <c r="E22" s="28" t="n"/>
      <c r="F22" s="28" t="n"/>
      <c r="G22" s="28" t="n"/>
      <c r="H22" s="28" t="n"/>
      <c r="I22" s="28" t="n"/>
      <c r="J22" s="28" t="n"/>
      <c r="K22" s="28" t="n"/>
      <c r="L22" s="28" t="n"/>
    </row>
    <row r="23" ht="18" customHeight="1">
      <c r="A23" s="29" t="inlineStr">
        <is>
          <t>Conveyance allowance (cash, not duty)</t>
        </is>
      </c>
      <c r="B23" s="29" t="inlineStr">
        <is>
          <t>Included</t>
        </is>
      </c>
      <c r="C23" s="29" t="inlineStr">
        <is>
          <t>s.32</t>
        </is>
      </c>
      <c r="D23" s="29" t="inlineStr">
        <is>
          <t>Duty TA/DA is excluded under s.32(2)(b) — different item.</t>
        </is>
      </c>
      <c r="E23" s="30" t="n"/>
      <c r="F23" s="30" t="n"/>
      <c r="G23" s="30" t="n"/>
      <c r="H23" s="30" t="n"/>
      <c r="I23" s="30" t="n"/>
      <c r="J23" s="30" t="n"/>
      <c r="K23" s="30" t="n"/>
      <c r="L23" s="30" t="n"/>
    </row>
    <row r="24" ht="18" customHeight="1">
      <c r="A24" s="27" t="inlineStr">
        <is>
          <t>Festival bonus</t>
        </is>
      </c>
      <c r="B24" s="27" t="inlineStr">
        <is>
          <t>Included (not a 'perquisite')</t>
        </is>
      </c>
      <c r="C24" s="27" t="inlineStr">
        <is>
          <t>s.32 definition</t>
        </is>
      </c>
      <c r="D24" s="27" t="inlineStr">
        <is>
          <t>Festival allowance is excluded from the definition of perquisite, but it is still salary.</t>
        </is>
      </c>
      <c r="E24" s="28" t="n"/>
      <c r="F24" s="28" t="n"/>
      <c r="G24" s="28" t="n"/>
      <c r="H24" s="28" t="n"/>
      <c r="I24" s="28" t="n"/>
      <c r="J24" s="28" t="n"/>
      <c r="K24" s="28" t="n"/>
      <c r="L24" s="28" t="n"/>
    </row>
    <row r="25" ht="18" customHeight="1">
      <c r="A25" s="29" t="inlineStr">
        <is>
          <t>Incentive / performance bonus</t>
        </is>
      </c>
      <c r="B25" s="29" t="inlineStr">
        <is>
          <t>Included (is a perquisite)</t>
        </is>
      </c>
      <c r="C25" s="29" t="inlineStr">
        <is>
          <t>s.32 perquisite</t>
        </is>
      </c>
      <c r="D25" s="29" t="inlineStr">
        <is>
          <t>Incentive bonus is specifically a perquisite. Still fully in the employee's income.</t>
        </is>
      </c>
      <c r="E25" s="30" t="n"/>
      <c r="F25" s="30" t="n"/>
      <c r="G25" s="30" t="n"/>
      <c r="H25" s="30" t="n"/>
      <c r="I25" s="30" t="n"/>
      <c r="J25" s="30" t="n"/>
      <c r="K25" s="30" t="n"/>
      <c r="L25" s="30" t="n"/>
    </row>
    <row r="26" ht="18" customHeight="1">
      <c r="A26" s="27" t="inlineStr">
        <is>
          <t>Overtime / leave encashment / arrear / advance</t>
        </is>
      </c>
      <c r="B26" s="27" t="inlineStr">
        <is>
          <t>Included</t>
        </is>
      </c>
      <c r="C26" s="27" t="inlineStr">
        <is>
          <t>s.32</t>
        </is>
      </c>
      <c r="D26" s="27" t="inlineStr">
        <is>
          <t>Arrear is taxable in the year of receipt if not previously taxed.</t>
        </is>
      </c>
      <c r="E26" s="28" t="n"/>
      <c r="F26" s="28" t="n"/>
      <c r="G26" s="28" t="n"/>
      <c r="H26" s="28" t="n"/>
      <c r="I26" s="28" t="n"/>
      <c r="J26" s="28" t="n"/>
      <c r="K26" s="28" t="n"/>
      <c r="L26" s="28" t="n"/>
    </row>
    <row r="27" ht="18" customHeight="1">
      <c r="A27" s="29" t="inlineStr">
        <is>
          <t>Commission, fees, honorarium from employer</t>
        </is>
      </c>
      <c r="B27" s="29" t="inlineStr">
        <is>
          <t>Included</t>
        </is>
      </c>
      <c r="C27" s="29" t="inlineStr">
        <is>
          <t>s.32</t>
        </is>
      </c>
      <c r="D27" s="29" t="inlineStr">
        <is>
          <t>If paid by a third party for a non-employment activity, consider Other Sources.</t>
        </is>
      </c>
      <c r="E27" s="30" t="n"/>
      <c r="F27" s="30" t="n"/>
      <c r="G27" s="30" t="n"/>
      <c r="H27" s="30" t="n"/>
      <c r="I27" s="30" t="n"/>
      <c r="J27" s="30" t="n"/>
      <c r="K27" s="30" t="n"/>
      <c r="L27" s="30" t="n"/>
    </row>
    <row r="28" ht="18" customHeight="1">
      <c r="A28" s="27" t="inlineStr">
        <is>
          <t>Rent-free / concessional accommodation</t>
        </is>
      </c>
      <c r="B28" s="27" t="inlineStr">
        <is>
          <t>Included at s.33 value</t>
        </is>
      </c>
      <c r="C28" s="27" t="inlineStr">
        <is>
          <t>s.33 table</t>
        </is>
      </c>
      <c r="D28" s="27" t="inlineStr">
        <is>
          <t>Annual cost or (annual cost − concessional rent).</t>
        </is>
      </c>
      <c r="E28" s="28" t="n"/>
      <c r="F28" s="28" t="n"/>
      <c r="G28" s="28" t="n"/>
      <c r="H28" s="28" t="n"/>
      <c r="I28" s="28" t="n"/>
      <c r="J28" s="28" t="n"/>
      <c r="K28" s="28" t="n"/>
      <c r="L28" s="28" t="n"/>
    </row>
    <row r="29" ht="18" customHeight="1">
      <c r="A29" s="29" t="inlineStr">
        <is>
          <t>Employer-provided car (personal / mixed use)</t>
        </is>
      </c>
      <c r="B29" s="29" t="inlineStr">
        <is>
          <t>Included at monthly statutory value × months</t>
        </is>
      </c>
      <c r="C29" s="29" t="inlineStr">
        <is>
          <t>s.33</t>
        </is>
      </c>
      <c r="D29" s="29" t="inlineStr">
        <is>
          <t>By cc band: 15k / 20k / 30k / 50k per month (PwC 2025). VERIFY.</t>
        </is>
      </c>
      <c r="E29" s="30" t="n"/>
      <c r="F29" s="30" t="n"/>
      <c r="G29" s="30" t="n"/>
      <c r="H29" s="30" t="n"/>
      <c r="I29" s="30" t="n"/>
      <c r="J29" s="30" t="n"/>
      <c r="K29" s="30" t="n"/>
      <c r="L29" s="30" t="n"/>
    </row>
    <row r="30" ht="18" customHeight="1">
      <c r="A30" s="27" t="inlineStr">
        <is>
          <t>Other benefits in kind</t>
        </is>
      </c>
      <c r="B30" s="27" t="inlineStr">
        <is>
          <t>Included at monetary / FMV</t>
        </is>
      </c>
      <c r="C30" s="27" t="inlineStr">
        <is>
          <t>s.33</t>
        </is>
      </c>
      <c r="D30" s="27" t="inlineStr">
        <is>
          <t>Utilities paid by employer, domestic help, club, etc.</t>
        </is>
      </c>
      <c r="E30" s="28" t="n"/>
      <c r="F30" s="28" t="n"/>
      <c r="G30" s="28" t="n"/>
      <c r="H30" s="28" t="n"/>
      <c r="I30" s="28" t="n"/>
      <c r="J30" s="28" t="n"/>
      <c r="K30" s="28" t="n"/>
      <c r="L30" s="28" t="n"/>
    </row>
    <row r="31" ht="18" customHeight="1">
      <c r="A31" s="29" t="inlineStr">
        <is>
          <t>Employee share scheme</t>
        </is>
      </c>
      <c r="B31" s="29" t="inlineStr">
        <is>
          <t>FMV − cost, in the year of receipt</t>
        </is>
      </c>
      <c r="C31" s="29" t="inlineStr">
        <is>
          <t>s.34</t>
        </is>
      </c>
      <c r="D31" s="29" t="inlineStr">
        <is>
          <t>Sale of the right is also employment income.</t>
        </is>
      </c>
      <c r="E31" s="30" t="n"/>
      <c r="F31" s="30" t="n"/>
      <c r="G31" s="30" t="n"/>
      <c r="H31" s="30" t="n"/>
      <c r="I31" s="30" t="n"/>
      <c r="J31" s="30" t="n"/>
      <c r="K31" s="30" t="n"/>
      <c r="L31" s="30" t="n"/>
    </row>
    <row r="32" ht="18" customHeight="1">
      <c r="A32" s="27" t="inlineStr">
        <is>
          <t>Employer contribution to recognised PF / approved funds</t>
        </is>
      </c>
      <c r="B32" s="27" t="inlineStr">
        <is>
          <t>Generally not included (assumption)</t>
        </is>
      </c>
      <c r="C32" s="27" t="inlineStr">
        <is>
          <t>s.32 perquisite exclusion; Sixth Schedule — VERIFY</t>
        </is>
      </c>
      <c r="D32" s="27" t="inlineStr">
        <is>
          <t>Unrecognised-fund credits are usually taxable.</t>
        </is>
      </c>
      <c r="E32" s="28" t="n"/>
      <c r="F32" s="28" t="n"/>
      <c r="G32" s="28" t="n"/>
      <c r="H32" s="28" t="n"/>
      <c r="I32" s="28" t="n"/>
      <c r="J32" s="28" t="n"/>
      <c r="K32" s="28" t="n"/>
      <c r="L32" s="28" t="n"/>
    </row>
    <row r="33" ht="18" customHeight="1">
      <c r="A33" s="29" t="inlineStr">
        <is>
          <t>Employee contribution to PF</t>
        </is>
      </c>
      <c r="B33" s="29" t="inlineStr">
        <is>
          <t>Already inside salary; no extra deduction here</t>
        </is>
      </c>
      <c r="C33" s="29" t="inlineStr">
        <is>
          <t>s.78 / Sixth Schedule Part 3</t>
        </is>
      </c>
      <c r="D33" s="29" t="inlineStr">
        <is>
          <t>May qualify for investment rebate on the Home sheet.</t>
        </is>
      </c>
      <c r="E33" s="30" t="n"/>
      <c r="F33" s="30" t="n"/>
      <c r="G33" s="30" t="n"/>
      <c r="H33" s="30" t="n"/>
      <c r="I33" s="30" t="n"/>
      <c r="J33" s="30" t="n"/>
      <c r="K33" s="30" t="n"/>
      <c r="L33" s="30" t="n"/>
    </row>
    <row r="34" ht="18" customHeight="1">
      <c r="A34" s="27" t="inlineStr">
        <is>
          <t>Termination compensation / profit in lieu of salary</t>
        </is>
      </c>
      <c r="B34" s="27" t="inlineStr">
        <is>
          <t>Included</t>
        </is>
      </c>
      <c r="C34" s="27" t="inlineStr">
        <is>
          <t>s.32(1)(b)</t>
        </is>
      </c>
      <c r="D34" s="27" t="inlineStr">
        <is>
          <t>Label does not matter — look at the substance.</t>
        </is>
      </c>
      <c r="E34" s="28" t="n"/>
      <c r="F34" s="28" t="n"/>
      <c r="G34" s="28" t="n"/>
      <c r="H34" s="28" t="n"/>
      <c r="I34" s="28" t="n"/>
      <c r="J34" s="28" t="n"/>
      <c r="K34" s="28" t="n"/>
      <c r="L34" s="28" t="n"/>
    </row>
    <row r="35" ht="18" customHeight="1">
      <c r="A35" s="29" t="inlineStr">
        <is>
          <t>Duty TA/DA / conveyance wholly for duties</t>
        </is>
      </c>
      <c r="B35" s="31" t="inlineStr">
        <is>
          <t>EXCLUDED from this head</t>
        </is>
      </c>
      <c r="C35" s="29" t="inlineStr">
        <is>
          <t>s.32(2)(b)</t>
        </is>
      </c>
      <c r="D35" s="29" t="inlineStr">
        <is>
          <t>Do not put it in gross and then exempt it.</t>
        </is>
      </c>
      <c r="E35" s="30" t="n"/>
      <c r="F35" s="30" t="n"/>
      <c r="G35" s="30" t="n"/>
      <c r="H35" s="30" t="n"/>
      <c r="I35" s="30" t="n"/>
      <c r="J35" s="30" t="n"/>
      <c r="K35" s="30" t="n"/>
      <c r="L35" s="30" t="n"/>
    </row>
    <row r="36" ht="18" customHeight="1">
      <c r="A36" s="27" t="inlineStr">
        <is>
          <t>Specified major-surgery medical (non-shareholder-director)</t>
        </is>
      </c>
      <c r="B36" s="31" t="inlineStr">
        <is>
          <t>EXCLUDED from this head</t>
        </is>
      </c>
      <c r="C36" s="27" t="inlineStr">
        <is>
          <t>s.32(2)(a)</t>
        </is>
      </c>
      <c r="D36" s="27" t="inlineStr">
        <is>
          <t>Heart, kidney, eye, liver, cancer. Shareholder-director does not get this exclusion.</t>
        </is>
      </c>
      <c r="E36" s="28" t="n"/>
      <c r="F36" s="28" t="n"/>
      <c r="G36" s="28" t="n"/>
      <c r="H36" s="28" t="n"/>
      <c r="I36" s="28" t="n"/>
      <c r="J36" s="28" t="n"/>
      <c r="K36" s="28" t="n"/>
      <c r="L36" s="28" t="n"/>
    </row>
    <row r="37" ht="18" customHeight="1">
      <c r="A37" s="29" t="inlineStr">
        <is>
          <t>Group insurance receipt / employer group-insurance cost</t>
        </is>
      </c>
      <c r="B37" s="29" t="inlineStr">
        <is>
          <t>Generally exempt / excluded — VERIFY</t>
        </is>
      </c>
      <c r="C37" s="29" t="inlineStr">
        <is>
          <t>Sixth Schedule — VERIFY</t>
        </is>
      </c>
      <c r="D37" s="29" t="inlineStr">
        <is>
          <t>Do not invent a number; follow the question.</t>
        </is>
      </c>
      <c r="E37" s="30" t="n"/>
      <c r="F37" s="30" t="n"/>
      <c r="G37" s="30" t="n"/>
      <c r="H37" s="30" t="n"/>
      <c r="I37" s="30" t="n"/>
      <c r="J37" s="30" t="n"/>
      <c r="K37" s="30" t="n"/>
      <c r="L37" s="30" t="n"/>
    </row>
    <row r="38" ht="18" customHeight="1">
      <c r="A38" s="27" t="inlineStr">
        <is>
          <t>TDS on salary</t>
        </is>
      </c>
      <c r="B38" s="31" t="inlineStr">
        <is>
          <t>NOT a deduction from income</t>
        </is>
      </c>
      <c r="C38" s="27" t="inlineStr">
        <is>
          <t>s.86, s.150</t>
        </is>
      </c>
      <c r="D38" s="27" t="inlineStr">
        <is>
          <t>Credit in the tax-payment section on the Home sheet.</t>
        </is>
      </c>
      <c r="E38" s="28" t="n"/>
      <c r="F38" s="28" t="n"/>
      <c r="G38" s="28" t="n"/>
      <c r="H38" s="28" t="n"/>
      <c r="I38" s="28" t="n"/>
      <c r="J38" s="28" t="n"/>
      <c r="K38" s="28" t="n"/>
      <c r="L38" s="28" t="n"/>
    </row>
    <row r="40" ht="20" customHeight="1">
      <c r="A40" s="23" t="inlineStr">
        <is>
          <t xml:space="preserve">  C   COMPUTATION TEMPLATE  (blue = input; overwrite to solve any question)</t>
        </is>
      </c>
      <c r="B40" s="23" t="n"/>
      <c r="C40" s="23" t="n"/>
      <c r="D40" s="23" t="n"/>
      <c r="E40" s="23" t="n"/>
      <c r="F40" s="23" t="n"/>
      <c r="G40" s="23" t="n"/>
      <c r="H40" s="23" t="n"/>
      <c r="I40" s="23" t="n"/>
      <c r="J40" s="23" t="n"/>
      <c r="K40" s="23" t="n"/>
      <c r="L40" s="23" t="n"/>
    </row>
    <row r="41" ht="22" customHeight="1">
      <c r="A41" s="32" t="inlineStr">
        <is>
          <t>Pre-filled figures are those of Mr. Md. Karim Rahman (the integrated example). Column C 'Include in gross?' drives the formula. Duty TA/DA and specified surgery start as Exclude. TDS is recorded only as a memo.</t>
        </is>
      </c>
      <c r="B41" s="33" t="n"/>
      <c r="C41" s="33" t="n"/>
      <c r="D41" s="33" t="n"/>
      <c r="E41" s="33" t="n"/>
      <c r="F41" s="33" t="n"/>
      <c r="G41" s="33" t="n"/>
      <c r="H41" s="33" t="n"/>
      <c r="I41" s="33" t="n"/>
      <c r="J41" s="33" t="n"/>
      <c r="K41" s="33" t="n"/>
      <c r="L41" s="33" t="n"/>
    </row>
    <row r="42" ht="28" customHeight="1">
      <c r="A42" s="26" t="inlineStr">
        <is>
          <t>Income item</t>
        </is>
      </c>
      <c r="B42" s="26" t="inlineStr">
        <is>
          <t>Gross amount (BDT)</t>
        </is>
      </c>
      <c r="C42" s="26" t="inlineStr">
        <is>
          <t>Include in gross?</t>
        </is>
      </c>
      <c r="D42" s="26" t="inlineStr">
        <is>
          <t>Amount included</t>
        </is>
      </c>
      <c r="E42" s="26" t="inlineStr">
        <is>
          <t>Exempt / excluded amount</t>
        </is>
      </c>
      <c r="F42" s="26" t="inlineStr">
        <is>
          <t>Net for 1/3 base</t>
        </is>
      </c>
      <c r="G42" s="26" t="inlineStr">
        <is>
          <t>Tax treatment</t>
        </is>
      </c>
      <c r="H42" s="26" t="inlineStr">
        <is>
          <t>Explanation / provision</t>
        </is>
      </c>
      <c r="I42" s="26" t="inlineStr">
        <is>
          <t>TDS (memo)</t>
        </is>
      </c>
      <c r="J42" s="26" t="inlineStr">
        <is>
          <t>Check</t>
        </is>
      </c>
      <c r="K42" s="26" t="inlineStr"/>
      <c r="L42" s="26" t="inlineStr"/>
    </row>
    <row r="43">
      <c r="A43" s="34" t="inlineStr">
        <is>
          <t>Basic salary</t>
        </is>
      </c>
      <c r="B43" s="35" t="n">
        <v>1200000</v>
      </c>
      <c r="C43" s="36" t="inlineStr">
        <is>
          <t>Include</t>
        </is>
      </c>
      <c r="D43" s="37">
        <f>IF(C43="Include",B43,0)</f>
        <v/>
      </c>
      <c r="E43" s="37">
        <f>IF(C43="Include",0,B43)</f>
        <v/>
      </c>
      <c r="F43" s="37">
        <f>D43</f>
        <v/>
      </c>
      <c r="G43" s="36" t="inlineStr">
        <is>
          <t>Taxable</t>
        </is>
      </c>
      <c r="H43" s="38" t="inlineStr">
        <is>
          <t>s.32 — core salary</t>
        </is>
      </c>
      <c r="I43" s="35" t="n">
        <v>0</v>
      </c>
      <c r="J43" s="39">
        <f>IF(OR(D43&gt;B43+0.001,E43&gt;B43+0.001),"CHECK REQUIRED","OK")</f>
        <v/>
      </c>
    </row>
    <row r="44">
      <c r="A44" s="34" t="inlineStr">
        <is>
          <t>House rent allowance (cash)</t>
        </is>
      </c>
      <c r="B44" s="35" t="n">
        <v>600000</v>
      </c>
      <c r="C44" s="36" t="inlineStr">
        <is>
          <t>Include</t>
        </is>
      </c>
      <c r="D44" s="37">
        <f>IF(C44="Include",B44,0)</f>
        <v/>
      </c>
      <c r="E44" s="37">
        <f>IF(C44="Include",0,B44)</f>
        <v/>
      </c>
      <c r="F44" s="37">
        <f>D44</f>
        <v/>
      </c>
      <c r="G44" s="36" t="inlineStr">
        <is>
          <t>Taxable</t>
        </is>
      </c>
      <c r="H44" s="38" t="inlineStr">
        <is>
          <t>No separate HRA exemption under ITA 2023</t>
        </is>
      </c>
      <c r="I44" s="35" t="n">
        <v>0</v>
      </c>
      <c r="J44" s="39">
        <f>IF(OR(D44&gt;B44+0.001,E44&gt;B44+0.001),"CHECK REQUIRED","OK")</f>
        <v/>
      </c>
    </row>
    <row r="45">
      <c r="A45" s="34" t="inlineStr">
        <is>
          <t>Medical allowance (ordinary)</t>
        </is>
      </c>
      <c r="B45" s="35" t="n">
        <v>60000</v>
      </c>
      <c r="C45" s="36" t="inlineStr">
        <is>
          <t>Include</t>
        </is>
      </c>
      <c r="D45" s="37">
        <f>IF(C45="Include",B45,0)</f>
        <v/>
      </c>
      <c r="E45" s="37">
        <f>IF(C45="Include",0,B45)</f>
        <v/>
      </c>
      <c r="F45" s="37">
        <f>D45</f>
        <v/>
      </c>
      <c r="G45" s="36" t="inlineStr">
        <is>
          <t>Taxable</t>
        </is>
      </c>
      <c r="H45" s="38" t="inlineStr">
        <is>
          <t>Covered only by composite 1/3 exemption</t>
        </is>
      </c>
      <c r="I45" s="35" t="n">
        <v>0</v>
      </c>
      <c r="J45" s="39">
        <f>IF(OR(D45&gt;B45+0.001,E45&gt;B45+0.001),"CHECK REQUIRED","OK")</f>
        <v/>
      </c>
    </row>
    <row r="46">
      <c r="A46" s="34" t="inlineStr">
        <is>
          <t>Conveyance allowance (cash, not duty)</t>
        </is>
      </c>
      <c r="B46" s="35" t="n">
        <v>36000</v>
      </c>
      <c r="C46" s="36" t="inlineStr">
        <is>
          <t>Include</t>
        </is>
      </c>
      <c r="D46" s="37">
        <f>IF(C46="Include",B46,0)</f>
        <v/>
      </c>
      <c r="E46" s="37">
        <f>IF(C46="Include",0,B46)</f>
        <v/>
      </c>
      <c r="F46" s="37">
        <f>D46</f>
        <v/>
      </c>
      <c r="G46" s="36" t="inlineStr">
        <is>
          <t>Taxable</t>
        </is>
      </c>
      <c r="H46" s="38" t="inlineStr">
        <is>
          <t>Not s.32(2)(b) — that needs 'wholly for duties'</t>
        </is>
      </c>
      <c r="I46" s="35" t="n">
        <v>0</v>
      </c>
      <c r="J46" s="39">
        <f>IF(OR(D46&gt;B46+0.001,E46&gt;B46+0.001),"CHECK REQUIRED","OK")</f>
        <v/>
      </c>
    </row>
    <row r="47">
      <c r="A47" s="34" t="inlineStr">
        <is>
          <t>Festival bonus</t>
        </is>
      </c>
      <c r="B47" s="35" t="n">
        <v>200000</v>
      </c>
      <c r="C47" s="36" t="inlineStr">
        <is>
          <t>Include</t>
        </is>
      </c>
      <c r="D47" s="37">
        <f>IF(C47="Include",B47,0)</f>
        <v/>
      </c>
      <c r="E47" s="37">
        <f>IF(C47="Include",0,B47)</f>
        <v/>
      </c>
      <c r="F47" s="37">
        <f>D47</f>
        <v/>
      </c>
      <c r="G47" s="36" t="inlineStr">
        <is>
          <t>Taxable</t>
        </is>
      </c>
      <c r="H47" s="38" t="inlineStr">
        <is>
          <t>Salary; not a perquisite, but fully included</t>
        </is>
      </c>
      <c r="I47" s="35" t="n">
        <v>0</v>
      </c>
      <c r="J47" s="39">
        <f>IF(OR(D47&gt;B47+0.001,E47&gt;B47+0.001),"CHECK REQUIRED","OK")</f>
        <v/>
      </c>
    </row>
    <row r="48">
      <c r="A48" s="34" t="inlineStr">
        <is>
          <t>Incentive / performance bonus</t>
        </is>
      </c>
      <c r="B48" s="35" t="n">
        <v>150000</v>
      </c>
      <c r="C48" s="36" t="inlineStr">
        <is>
          <t>Include</t>
        </is>
      </c>
      <c r="D48" s="37">
        <f>IF(C48="Include",B48,0)</f>
        <v/>
      </c>
      <c r="E48" s="37">
        <f>IF(C48="Include",0,B48)</f>
        <v/>
      </c>
      <c r="F48" s="37">
        <f>D48</f>
        <v/>
      </c>
      <c r="G48" s="36" t="inlineStr">
        <is>
          <t>Taxable</t>
        </is>
      </c>
      <c r="H48" s="38" t="inlineStr">
        <is>
          <t>Perquisite, still fully in employee's income</t>
        </is>
      </c>
      <c r="I48" s="35" t="n">
        <v>0</v>
      </c>
      <c r="J48" s="39">
        <f>IF(OR(D48&gt;B48+0.001,E48&gt;B48+0.001),"CHECK REQUIRED","OK")</f>
        <v/>
      </c>
    </row>
    <row r="49">
      <c r="A49" s="34" t="inlineStr">
        <is>
          <t>Overtime</t>
        </is>
      </c>
      <c r="B49" s="35" t="n">
        <v>40000</v>
      </c>
      <c r="C49" s="36" t="inlineStr">
        <is>
          <t>Include</t>
        </is>
      </c>
      <c r="D49" s="37">
        <f>IF(C49="Include",B49,0)</f>
        <v/>
      </c>
      <c r="E49" s="37">
        <f>IF(C49="Include",0,B49)</f>
        <v/>
      </c>
      <c r="F49" s="37">
        <f>D49</f>
        <v/>
      </c>
      <c r="G49" s="36" t="inlineStr">
        <is>
          <t>Taxable</t>
        </is>
      </c>
      <c r="H49" s="38" t="inlineStr">
        <is>
          <t>s.32</t>
        </is>
      </c>
      <c r="I49" s="35" t="n">
        <v>0</v>
      </c>
      <c r="J49" s="39">
        <f>IF(OR(D49&gt;B49+0.001,E49&gt;B49+0.001),"CHECK REQUIRED","OK")</f>
        <v/>
      </c>
    </row>
    <row r="50">
      <c r="A50" s="34" t="inlineStr">
        <is>
          <t>Leave encashment</t>
        </is>
      </c>
      <c r="B50" s="35" t="n">
        <v>0</v>
      </c>
      <c r="C50" s="36" t="inlineStr">
        <is>
          <t>Include</t>
        </is>
      </c>
      <c r="D50" s="37">
        <f>IF(C50="Include",B50,0)</f>
        <v/>
      </c>
      <c r="E50" s="37">
        <f>IF(C50="Include",0,B50)</f>
        <v/>
      </c>
      <c r="F50" s="37">
        <f>D50</f>
        <v/>
      </c>
      <c r="G50" s="36" t="inlineStr">
        <is>
          <t>Taxable</t>
        </is>
      </c>
      <c r="H50" s="38" t="inlineStr">
        <is>
          <t>Blank line for other questions</t>
        </is>
      </c>
      <c r="I50" s="35" t="n">
        <v>0</v>
      </c>
      <c r="J50" s="39">
        <f>IF(OR(D50&gt;B50+0.001,E50&gt;B50+0.001),"CHECK REQUIRED","OK")</f>
        <v/>
      </c>
    </row>
    <row r="51">
      <c r="A51" s="34" t="inlineStr">
        <is>
          <t>Arrear salary (previously untaxed)</t>
        </is>
      </c>
      <c r="B51" s="35" t="n">
        <v>80000</v>
      </c>
      <c r="C51" s="36" t="inlineStr">
        <is>
          <t>Include</t>
        </is>
      </c>
      <c r="D51" s="37">
        <f>IF(C51="Include",B51,0)</f>
        <v/>
      </c>
      <c r="E51" s="37">
        <f>IF(C51="Include",0,B51)</f>
        <v/>
      </c>
      <c r="F51" s="37">
        <f>D51</f>
        <v/>
      </c>
      <c r="G51" s="36" t="inlineStr">
        <is>
          <t>Taxable</t>
        </is>
      </c>
      <c r="H51" s="38" t="inlineStr">
        <is>
          <t>Taxable in year of receipt if not earlier taxed</t>
        </is>
      </c>
      <c r="I51" s="35" t="n">
        <v>0</v>
      </c>
      <c r="J51" s="39">
        <f>IF(OR(D51&gt;B51+0.001,E51&gt;B51+0.001),"CHECK REQUIRED","OK")</f>
        <v/>
      </c>
    </row>
    <row r="52">
      <c r="A52" s="34" t="inlineStr">
        <is>
          <t>Commission / fees from employer</t>
        </is>
      </c>
      <c r="B52" s="35" t="n">
        <v>0</v>
      </c>
      <c r="C52" s="36" t="inlineStr">
        <is>
          <t>Include</t>
        </is>
      </c>
      <c r="D52" s="37">
        <f>IF(C52="Include",B52,0)</f>
        <v/>
      </c>
      <c r="E52" s="37">
        <f>IF(C52="Include",0,B52)</f>
        <v/>
      </c>
      <c r="F52" s="37">
        <f>D52</f>
        <v/>
      </c>
      <c r="G52" s="36" t="inlineStr">
        <is>
          <t>Taxable</t>
        </is>
      </c>
      <c r="H52" s="38" t="inlineStr">
        <is>
          <t>Blank line</t>
        </is>
      </c>
      <c r="I52" s="35" t="n">
        <v>0</v>
      </c>
      <c r="J52" s="39">
        <f>IF(OR(D52&gt;B52+0.001,E52&gt;B52+0.001),"CHECK REQUIRED","OK")</f>
        <v/>
      </c>
    </row>
    <row r="53">
      <c r="A53" s="34" t="inlineStr">
        <is>
          <t>Other cash allowances</t>
        </is>
      </c>
      <c r="B53" s="35" t="n">
        <v>0</v>
      </c>
      <c r="C53" s="36" t="inlineStr">
        <is>
          <t>Include</t>
        </is>
      </c>
      <c r="D53" s="37">
        <f>IF(C53="Include",B53,0)</f>
        <v/>
      </c>
      <c r="E53" s="37">
        <f>IF(C53="Include",0,B53)</f>
        <v/>
      </c>
      <c r="F53" s="37">
        <f>D53</f>
        <v/>
      </c>
      <c r="G53" s="36" t="inlineStr">
        <is>
          <t>Taxable</t>
        </is>
      </c>
      <c r="H53" s="38" t="inlineStr">
        <is>
          <t>Blank line</t>
        </is>
      </c>
      <c r="I53" s="35" t="n">
        <v>0</v>
      </c>
      <c r="J53" s="39">
        <f>IF(OR(D53&gt;B53+0.001,E53&gt;B53+0.001),"CHECK REQUIRED","OK")</f>
        <v/>
      </c>
    </row>
    <row r="54">
      <c r="A54" s="34" t="inlineStr">
        <is>
          <t>Rent-free / concessional accommodation (s.33)</t>
        </is>
      </c>
      <c r="B54" s="35" t="n">
        <v>0</v>
      </c>
      <c r="C54" s="36" t="inlineStr">
        <is>
          <t>Include</t>
        </is>
      </c>
      <c r="D54" s="37">
        <f>IF(C54="Include",B54,0)</f>
        <v/>
      </c>
      <c r="E54" s="37">
        <f>IF(C54="Include",0,B54)</f>
        <v/>
      </c>
      <c r="F54" s="37">
        <f>D54</f>
        <v/>
      </c>
      <c r="G54" s="36" t="inlineStr">
        <is>
          <t>Taxable</t>
        </is>
      </c>
      <c r="H54" s="38" t="inlineStr">
        <is>
          <t>Use the perquisite calculator below and copy the value</t>
        </is>
      </c>
      <c r="I54" s="35" t="n">
        <v>0</v>
      </c>
      <c r="J54" s="39">
        <f>IF(OR(D54&gt;B54+0.001,E54&gt;B54+0.001),"CHECK REQUIRED","OK")</f>
        <v/>
      </c>
    </row>
    <row r="55">
      <c r="A55" s="34" t="inlineStr">
        <is>
          <t>Employer-provided vehicle (s.33)</t>
        </is>
      </c>
      <c r="B55" s="35" t="n">
        <v>240000</v>
      </c>
      <c r="C55" s="36" t="inlineStr">
        <is>
          <t>Include</t>
        </is>
      </c>
      <c r="D55" s="37">
        <f>IF(C55="Include",B55,0)</f>
        <v/>
      </c>
      <c r="E55" s="37">
        <f>IF(C55="Include",0,B55)</f>
        <v/>
      </c>
      <c r="F55" s="37">
        <f>D55</f>
        <v/>
      </c>
      <c r="G55" s="36" t="inlineStr">
        <is>
          <t>Taxable</t>
        </is>
      </c>
      <c r="H55" s="38" t="inlineStr">
        <is>
          <t>Pre-filled from 1,800 cc × 12 × 20,000 — see calculator</t>
        </is>
      </c>
      <c r="I55" s="35" t="n">
        <v>0</v>
      </c>
      <c r="J55" s="39">
        <f>IF(OR(D55&gt;B55+0.001,E55&gt;B55+0.001),"CHECK REQUIRED","OK")</f>
        <v/>
      </c>
    </row>
    <row r="56">
      <c r="A56" s="34" t="inlineStr">
        <is>
          <t>Other benefits in kind (FMV)</t>
        </is>
      </c>
      <c r="B56" s="35" t="n">
        <v>0</v>
      </c>
      <c r="C56" s="36" t="inlineStr">
        <is>
          <t>Include</t>
        </is>
      </c>
      <c r="D56" s="37">
        <f>IF(C56="Include",B56,0)</f>
        <v/>
      </c>
      <c r="E56" s="37">
        <f>IF(C56="Include",0,B56)</f>
        <v/>
      </c>
      <c r="F56" s="37">
        <f>D56</f>
        <v/>
      </c>
      <c r="G56" s="36" t="inlineStr">
        <is>
          <t>Taxable</t>
        </is>
      </c>
      <c r="H56" s="38" t="inlineStr">
        <is>
          <t>Utilities, servant, club, etc.</t>
        </is>
      </c>
      <c r="I56" s="35" t="n">
        <v>0</v>
      </c>
      <c r="J56" s="39">
        <f>IF(OR(D56&gt;B56+0.001,E56&gt;B56+0.001),"CHECK REQUIRED","OK")</f>
        <v/>
      </c>
    </row>
    <row r="57">
      <c r="A57" s="34" t="inlineStr">
        <is>
          <t>Employee share scheme (FMV − cost)</t>
        </is>
      </c>
      <c r="B57" s="35" t="n">
        <v>0</v>
      </c>
      <c r="C57" s="36" t="inlineStr">
        <is>
          <t>Include</t>
        </is>
      </c>
      <c r="D57" s="37">
        <f>IF(C57="Include",B57,0)</f>
        <v/>
      </c>
      <c r="E57" s="37">
        <f>IF(C57="Include",0,B57)</f>
        <v/>
      </c>
      <c r="F57" s="37">
        <f>D57</f>
        <v/>
      </c>
      <c r="G57" s="36" t="inlineStr">
        <is>
          <t>Taxable</t>
        </is>
      </c>
      <c r="H57" s="38" t="inlineStr">
        <is>
          <t>s.34</t>
        </is>
      </c>
      <c r="I57" s="35" t="n">
        <v>0</v>
      </c>
      <c r="J57" s="39">
        <f>IF(OR(D57&gt;B57+0.001,E57&gt;B57+0.001),"CHECK REQUIRED","OK")</f>
        <v/>
      </c>
    </row>
    <row r="58">
      <c r="A58" s="34" t="inlineStr">
        <is>
          <t>Employer contribution to recognised PF</t>
        </is>
      </c>
      <c r="B58" s="35" t="n">
        <v>120000</v>
      </c>
      <c r="C58" s="36" t="inlineStr">
        <is>
          <t>Exclude</t>
        </is>
      </c>
      <c r="D58" s="37">
        <f>IF(C58="Include",B58,0)</f>
        <v/>
      </c>
      <c r="E58" s="37">
        <f>IF(C58="Include",0,B58)</f>
        <v/>
      </c>
      <c r="F58" s="37">
        <f>D58</f>
        <v/>
      </c>
      <c r="G58" s="36" t="inlineStr">
        <is>
          <t>Exempt</t>
        </is>
      </c>
      <c r="H58" s="38" t="inlineStr">
        <is>
          <t>Assumption: recognised fund — VERIFY; unrecognised = Include</t>
        </is>
      </c>
      <c r="I58" s="35" t="n">
        <v>0</v>
      </c>
      <c r="J58" s="39">
        <f>IF(OR(D58&gt;B58+0.001,E58&gt;B58+0.001),"CHECK REQUIRED","OK")</f>
        <v/>
      </c>
    </row>
    <row r="59">
      <c r="A59" s="34" t="inlineStr">
        <is>
          <t>Duty TA/DA / conveyance wholly for duties</t>
        </is>
      </c>
      <c r="B59" s="35" t="n">
        <v>45000</v>
      </c>
      <c r="C59" s="36" t="inlineStr">
        <is>
          <t>Exclude</t>
        </is>
      </c>
      <c r="D59" s="37">
        <f>IF(C59="Include",B59,0)</f>
        <v/>
      </c>
      <c r="E59" s="37">
        <f>IF(C59="Include",0,B59)</f>
        <v/>
      </c>
      <c r="F59" s="37">
        <f>D59</f>
        <v/>
      </c>
      <c r="G59" s="36" t="inlineStr">
        <is>
          <t>Not Applicable</t>
        </is>
      </c>
      <c r="H59" s="38" t="inlineStr">
        <is>
          <t>s.32(2)(b) — never in gross</t>
        </is>
      </c>
      <c r="I59" s="35" t="n">
        <v>0</v>
      </c>
      <c r="J59" s="39">
        <f>IF(OR(D59&gt;B59+0.001,E59&gt;B59+0.001),"CHECK REQUIRED","OK")</f>
        <v/>
      </c>
    </row>
    <row r="60">
      <c r="A60" s="34" t="inlineStr">
        <is>
          <t>Specified surgery medical (heart/kidney/eye/liver/cancer)</t>
        </is>
      </c>
      <c r="B60" s="35" t="n">
        <v>200000</v>
      </c>
      <c r="C60" s="36" t="inlineStr">
        <is>
          <t>Exclude</t>
        </is>
      </c>
      <c r="D60" s="37">
        <f>IF(C60="Include",B60,0)</f>
        <v/>
      </c>
      <c r="E60" s="37">
        <f>IF(C60="Include",0,B60)</f>
        <v/>
      </c>
      <c r="F60" s="37">
        <f>D60</f>
        <v/>
      </c>
      <c r="G60" s="36" t="inlineStr">
        <is>
          <t>Not Applicable</t>
        </is>
      </c>
      <c r="H60" s="38" t="inlineStr">
        <is>
          <t>s.32(2)(a) — not a shareholder-director</t>
        </is>
      </c>
      <c r="I60" s="35" t="n">
        <v>0</v>
      </c>
      <c r="J60" s="39">
        <f>IF(OR(D60&gt;B60+0.001,E60&gt;B60+0.001),"CHECK REQUIRED","OK")</f>
        <v/>
      </c>
    </row>
    <row r="61">
      <c r="A61" s="34" t="inlineStr">
        <is>
          <t>Group insurance / other excluded receipt</t>
        </is>
      </c>
      <c r="B61" s="35" t="n">
        <v>0</v>
      </c>
      <c r="C61" s="36" t="inlineStr">
        <is>
          <t>Exclude</t>
        </is>
      </c>
      <c r="D61" s="37">
        <f>IF(C61="Include",B61,0)</f>
        <v/>
      </c>
      <c r="E61" s="37">
        <f>IF(C61="Include",0,B61)</f>
        <v/>
      </c>
      <c r="F61" s="37">
        <f>D61</f>
        <v/>
      </c>
      <c r="G61" s="36" t="inlineStr">
        <is>
          <t>Exempt</t>
        </is>
      </c>
      <c r="H61" s="38" t="inlineStr">
        <is>
          <t>VERIFY Sixth Schedule</t>
        </is>
      </c>
      <c r="I61" s="35" t="n">
        <v>0</v>
      </c>
      <c r="J61" s="39">
        <f>IF(OR(D61&gt;B61+0.001,E61&gt;B61+0.001),"CHECK REQUIRED","OK")</f>
        <v/>
      </c>
    </row>
    <row r="62">
      <c r="A62" s="40" t="inlineStr">
        <is>
          <t>GROSS EMPLOYMENT INCOME (included items only)</t>
        </is>
      </c>
      <c r="B62" s="41">
        <f>SUM(B43:B61)</f>
        <v/>
      </c>
      <c r="D62" s="41">
        <f>SUM(D43:D61)</f>
        <v/>
      </c>
      <c r="E62" s="41">
        <f>SUM(E43:E61)</f>
        <v/>
      </c>
      <c r="F62" s="41">
        <f>SUM(F43:F61)</f>
        <v/>
      </c>
      <c r="I62" s="41">
        <f>SUM(I43:I61)</f>
        <v/>
      </c>
    </row>
    <row r="64" ht="16" customHeight="1">
      <c r="A64" s="42" t="inlineStr">
        <is>
          <t xml:space="preserve">  COMPOSITE EMPLOYMENT EXEMPTION  (Sixth Schedule, Part A)</t>
        </is>
      </c>
      <c r="B64" s="42" t="n"/>
      <c r="C64" s="42" t="n"/>
      <c r="D64" s="42" t="n"/>
      <c r="E64" s="42" t="n"/>
      <c r="F64" s="42" t="n"/>
      <c r="G64" s="42" t="n"/>
      <c r="H64" s="42" t="n"/>
      <c r="I64" s="42" t="n"/>
      <c r="J64" s="42" t="n"/>
      <c r="K64" s="42" t="n"/>
      <c r="L64" s="42" t="n"/>
    </row>
    <row r="65">
      <c r="A65" s="19" t="inlineStr">
        <is>
          <t>One-third of gross employment income</t>
        </is>
      </c>
      <c r="B65" s="37">
        <f>$D$62/3</f>
        <v/>
      </c>
    </row>
    <row r="66">
      <c r="A66" s="19" t="inlineStr">
        <is>
          <t>Statutory cap (linked to Home sheet)</t>
        </is>
      </c>
      <c r="B66" s="37">
        <f>P_EmpCap</f>
        <v/>
      </c>
    </row>
    <row r="67">
      <c r="A67" s="43" t="inlineStr">
        <is>
          <t>Exemption allowed = LOWER of the two</t>
        </is>
      </c>
      <c r="B67" s="44">
        <f>MIN($B$65,P_EmpCap)</f>
        <v/>
      </c>
    </row>
    <row r="68">
      <c r="A68" s="45" t="inlineStr">
        <is>
          <t>TAXABLE INCOME FROM EMPLOYMENT</t>
        </is>
      </c>
      <c r="B68" s="46">
        <f>$D$62-$B$67</f>
        <v/>
      </c>
    </row>
    <row r="69">
      <c r="A69" s="34" t="inlineStr">
        <is>
          <t>Error check</t>
        </is>
      </c>
      <c r="B69" s="39">
        <f>IF(OR($B$68&gt;$D$62+0.001,$B$67&gt;$D$62+0.001),"CHECK REQUIRED","OK")</f>
        <v/>
      </c>
    </row>
    <row r="71" ht="16" customHeight="1">
      <c r="A71" s="42" t="inlineStr">
        <is>
          <t xml:space="preserve">  PERQUISITE CALCULATORS  (s.33)  —  copy the result into the table above if needed</t>
        </is>
      </c>
      <c r="B71" s="42" t="n"/>
      <c r="C71" s="42" t="n"/>
      <c r="D71" s="42" t="n"/>
      <c r="E71" s="42" t="n"/>
      <c r="F71" s="42" t="n"/>
      <c r="G71" s="42" t="n"/>
      <c r="H71" s="42" t="n"/>
      <c r="I71" s="42" t="n"/>
      <c r="J71" s="42" t="n"/>
      <c r="K71" s="42" t="n"/>
      <c r="L71" s="42" t="n"/>
    </row>
    <row r="72">
      <c r="A72" s="19" t="inlineStr">
        <is>
          <t>Vehicle — engine capacity (cc)</t>
        </is>
      </c>
      <c r="B72" s="35" t="n">
        <v>1800</v>
      </c>
    </row>
    <row r="73">
      <c r="A73" s="34" t="inlineStr">
        <is>
          <t>Months the vehicle was available</t>
        </is>
      </c>
      <c r="B73" s="35" t="n">
        <v>12</v>
      </c>
    </row>
    <row r="74">
      <c r="A74" s="19" t="inlineStr">
        <is>
          <t>Monthly statutory value (auto)</t>
        </is>
      </c>
      <c r="B74" s="37">
        <f>IF($B$72&lt;=1500,15000,IF($B$72&lt;=2000,20000,IF($B$72&lt;=2500,30000,50000)))</f>
        <v/>
      </c>
      <c r="C74" s="38" t="inlineStr">
        <is>
          <t>PwC 2025 bands: ≤1,500 cc = 15,000; 1,501–2,000 = 20,000; 2,001–2,500 = 30,000; &gt;2,500 = 50,000 per month. VERIFY s.33 table in your reprint.</t>
        </is>
      </c>
      <c r="D74" s="21" t="n"/>
      <c r="E74" s="21" t="n"/>
      <c r="F74" s="21" t="n"/>
      <c r="G74" s="21" t="n"/>
      <c r="H74" s="22" t="n"/>
    </row>
    <row r="75">
      <c r="A75" s="19" t="inlineStr">
        <is>
          <t>Vehicle perquisite for the year</t>
        </is>
      </c>
      <c r="B75" s="37">
        <f>$B$74*$B$73</f>
        <v/>
      </c>
    </row>
    <row r="76">
      <c r="A76" s="34" t="inlineStr">
        <is>
          <t>Accommodation — annual cost / rent paid by employer</t>
        </is>
      </c>
      <c r="B76" s="35" t="n">
        <v>0</v>
      </c>
    </row>
    <row r="77">
      <c r="A77" s="34" t="inlineStr">
        <is>
          <t>Rent paid by employee (concessional)</t>
        </is>
      </c>
      <c r="B77" s="35" t="n">
        <v>0</v>
      </c>
    </row>
    <row r="78">
      <c r="A78" s="19" t="inlineStr">
        <is>
          <t>Accommodation perquisite (s.33)</t>
        </is>
      </c>
      <c r="B78" s="37">
        <f>MAX($B$76-$B$77,0)</f>
        <v/>
      </c>
    </row>
    <row r="80" ht="20" customHeight="1">
      <c r="A80" s="23" t="inlineStr">
        <is>
          <t xml:space="preserve">  D   TAX-TREATMENT TABLE  (formula-driven from Section C)</t>
        </is>
      </c>
      <c r="B80" s="23" t="n"/>
      <c r="C80" s="23" t="n"/>
      <c r="D80" s="23" t="n"/>
      <c r="E80" s="23" t="n"/>
      <c r="F80" s="23" t="n"/>
      <c r="G80" s="23" t="n"/>
      <c r="H80" s="23" t="n"/>
      <c r="I80" s="23" t="n"/>
      <c r="J80" s="23" t="n"/>
      <c r="K80" s="23" t="n"/>
      <c r="L80" s="23" t="n"/>
    </row>
    <row r="81" ht="28" customHeight="1">
      <c r="A81" s="47" t="inlineStr">
        <is>
          <t>Income item</t>
        </is>
      </c>
      <c r="B81" s="47" t="inlineStr">
        <is>
          <t>Gross amount</t>
        </is>
      </c>
      <c r="C81" s="47" t="inlineStr">
        <is>
          <t>Taxable amount</t>
        </is>
      </c>
      <c r="D81" s="47" t="inlineStr">
        <is>
          <t>Exempt amount</t>
        </is>
      </c>
      <c r="E81" s="47" t="inlineStr">
        <is>
          <t>Deduction / adjustment</t>
        </is>
      </c>
      <c r="F81" s="47" t="inlineStr">
        <is>
          <t>Net taxable amount</t>
        </is>
      </c>
      <c r="G81" s="47" t="inlineStr">
        <is>
          <t>Relevant provision</t>
        </is>
      </c>
      <c r="H81" s="47" t="inlineStr">
        <is>
          <t>Explanation</t>
        </is>
      </c>
      <c r="I81" s="47" t="inlineStr"/>
      <c r="J81" s="47" t="inlineStr"/>
      <c r="K81" s="47" t="inlineStr"/>
      <c r="L81" s="47" t="inlineStr"/>
    </row>
    <row r="82">
      <c r="A82" s="34" t="inlineStr">
        <is>
          <t>All included employment receipts</t>
        </is>
      </c>
      <c r="B82" s="37">
        <f>$D$62</f>
        <v/>
      </c>
      <c r="C82" s="37">
        <f>$D$62</f>
        <v/>
      </c>
      <c r="D82" s="37" t="n">
        <v>0</v>
      </c>
      <c r="E82" s="37" t="n">
        <v>0</v>
      </c>
      <c r="F82" s="37">
        <f>$D$62</f>
        <v/>
      </c>
      <c r="G82" t="inlineStr">
        <is>
          <t>s.32(1)</t>
        </is>
      </c>
      <c r="H82" t="inlineStr">
        <is>
          <t>Gross after s.32(2) exclusions</t>
        </is>
      </c>
    </row>
    <row r="83">
      <c r="A83" s="34" t="inlineStr">
        <is>
          <t>s.32(2) and other excluded receipts</t>
        </is>
      </c>
      <c r="B83" s="37">
        <f>$E$62</f>
        <v/>
      </c>
      <c r="C83" s="37" t="n">
        <v>0</v>
      </c>
      <c r="D83" s="37">
        <f>$E$62</f>
        <v/>
      </c>
      <c r="E83" s="37" t="n">
        <v>0</v>
      </c>
      <c r="F83" s="37" t="n">
        <v>0</v>
      </c>
      <c r="G83" t="inlineStr">
        <is>
          <t>s.32(2)</t>
        </is>
      </c>
      <c r="H83" t="inlineStr">
        <is>
          <t>Never part of this head</t>
        </is>
      </c>
    </row>
    <row r="84">
      <c r="A84" s="34" t="inlineStr">
        <is>
          <t>Composite 1/3 exemption</t>
        </is>
      </c>
      <c r="B84" s="37" t="n">
        <v>0</v>
      </c>
      <c r="C84" s="37" t="n">
        <v>0</v>
      </c>
      <c r="D84" s="37">
        <f>$B$67</f>
        <v/>
      </c>
      <c r="E84" s="37">
        <f>$B$67</f>
        <v/>
      </c>
      <c r="F84" s="37">
        <f>-$B$67</f>
        <v/>
      </c>
      <c r="G84" t="inlineStr">
        <is>
          <t>Sixth Schedule Part A</t>
        </is>
      </c>
      <c r="H84" t="inlineStr">
        <is>
          <t>Lower of 1/3 and cap</t>
        </is>
      </c>
    </row>
    <row r="85">
      <c r="A85" s="40" t="inlineStr">
        <is>
          <t>TAXABLE INCOME UNDER THIS HEAD</t>
        </is>
      </c>
      <c r="F85" s="41">
        <f>$B$68</f>
        <v/>
      </c>
    </row>
    <row r="87" ht="20" customHeight="1">
      <c r="A87" s="23" t="inlineStr">
        <is>
          <t xml:space="preserve">  E   WORKED EXAMPLE  —  Mr. Md. Karim Rahman (same figures as the template)</t>
        </is>
      </c>
      <c r="B87" s="23" t="n"/>
      <c r="C87" s="23" t="n"/>
      <c r="D87" s="23" t="n"/>
      <c r="E87" s="23" t="n"/>
      <c r="F87" s="23" t="n"/>
      <c r="G87" s="23" t="n"/>
      <c r="H87" s="23" t="n"/>
      <c r="I87" s="23" t="n"/>
      <c r="J87" s="23" t="n"/>
      <c r="K87" s="23" t="n"/>
      <c r="L87" s="23" t="n"/>
    </row>
    <row r="88" ht="56" customHeight="1">
      <c r="A88" s="32" t="inlineStr">
        <is>
          <t>STEP 1 — FACTS. During IY 2025-26 Mr. Rahman received: basic BDT 1,200,000; HRA 600,000; medical allowance 60,000; cash conveyance 36,000; festival bonus 200,000; incentive bonus 150,000; overtime 40,000; arrear salary 80,000. The company provided a 1,800 cc car for mixed official/personal use all year. Employer contributed BDT 120,000 to a recognised PF. He received duty TA/DA of 45,000 (spent on official tours) and a reimbursement of 200,000 for a kidney operation (he is not a shareholder-director). TDS of 280,000 was deducted from salary.</t>
        </is>
      </c>
      <c r="B88" s="33" t="n"/>
      <c r="C88" s="33" t="n"/>
      <c r="D88" s="33" t="n"/>
      <c r="E88" s="33" t="n"/>
      <c r="F88" s="33" t="n"/>
      <c r="G88" s="33" t="n"/>
      <c r="H88" s="33" t="n"/>
      <c r="I88" s="33" t="n"/>
      <c r="J88" s="33" t="n"/>
      <c r="K88" s="33" t="n"/>
      <c r="L88" s="33" t="n"/>
    </row>
    <row r="89" ht="40" customHeight="1">
      <c r="A89" s="48" t="inlineStr">
        <is>
          <t>STEP 2 — TAX TREATMENT. All cash salary items and the vehicle perquisite (20,000 × 12 = 240,000) are included. Duty TA/DA is excluded under s.32(2)(b). Kidney-operation reimbursement is excluded under s.32(2)(a). Employer RPF contribution is treated as excluded (recognised fund — flagged as an assumption). TDS is ignored in the income computation.</t>
        </is>
      </c>
      <c r="B89" s="49" t="n"/>
      <c r="C89" s="49" t="n"/>
      <c r="D89" s="49" t="n"/>
      <c r="E89" s="49" t="n"/>
      <c r="F89" s="49" t="n"/>
      <c r="G89" s="49" t="n"/>
      <c r="H89" s="49" t="n"/>
      <c r="I89" s="49" t="n"/>
      <c r="J89" s="49" t="n"/>
      <c r="K89" s="49" t="n"/>
      <c r="L89" s="49" t="n"/>
    </row>
    <row r="90" ht="40" customHeight="1">
      <c r="A90" s="24" t="inlineStr">
        <is>
          <t>STEP 3 — COMPUTATION (all live formulas). Gross included = SUM of 'Include' rows. Exemption = MIN(Gross/3, P_EmpCap). Taxable = Gross − Exemption. With the pre-filled figures: Gross 2,606,000; 1/3 = 868,667; cap = 500,000; exemption = 500,000; TAXABLE INCOME FROM EMPLOYMENT = 2,106,000.</t>
        </is>
      </c>
      <c r="B90" s="25" t="n"/>
      <c r="C90" s="25" t="n"/>
      <c r="D90" s="25" t="n"/>
      <c r="E90" s="25" t="n"/>
      <c r="F90" s="25" t="n"/>
      <c r="G90" s="25" t="n"/>
      <c r="H90" s="25" t="n"/>
      <c r="I90" s="25" t="n"/>
      <c r="J90" s="25" t="n"/>
      <c r="K90" s="25" t="n"/>
      <c r="L90" s="25" t="n"/>
    </row>
    <row r="91">
      <c r="A91" s="50" t="inlineStr">
        <is>
          <t>Taxable income under this head (live)</t>
        </is>
      </c>
      <c r="B91" s="51">
        <f>$B$68</f>
        <v/>
      </c>
    </row>
    <row r="92" ht="44" customHeight="1">
      <c r="A92" s="52" t="inlineStr">
        <is>
          <t>STEP 5 — WHY. The 1/3 exemption replaced item-wise HRA/medical/conveyance exemptions. Applying the old ITO 1984 limits would be a common (and wrong) answer. s.32(2) items are omitted before the 1/3 is calculated — if you first include the kidney bill and then 'exempt' it, you inflate the 1/3 base. The vehicle is valued by the s.33 table, not by actual running cost. Incentive bonus is a perquisite for the employer's BDT 10 lakh disallowance, but the employee is still taxed on it in full.</t>
        </is>
      </c>
      <c r="B92" s="53" t="n"/>
      <c r="C92" s="53" t="n"/>
      <c r="D92" s="53" t="n"/>
      <c r="E92" s="53" t="n"/>
      <c r="F92" s="53" t="n"/>
      <c r="G92" s="53" t="n"/>
      <c r="H92" s="53" t="n"/>
      <c r="I92" s="53" t="n"/>
      <c r="J92" s="53" t="n"/>
      <c r="K92" s="53" t="n"/>
      <c r="L92" s="53" t="n"/>
    </row>
    <row r="94" ht="20" customHeight="1">
      <c r="A94" s="23" t="inlineStr">
        <is>
          <t xml:space="preserve">  F   ICAB EXAM TIPS</t>
        </is>
      </c>
      <c r="B94" s="23" t="n"/>
      <c r="C94" s="23" t="n"/>
      <c r="D94" s="23" t="n"/>
      <c r="E94" s="23" t="n"/>
      <c r="F94" s="23" t="n"/>
      <c r="G94" s="23" t="n"/>
      <c r="H94" s="23" t="n"/>
      <c r="I94" s="23" t="n"/>
      <c r="J94" s="23" t="n"/>
      <c r="K94" s="23" t="n"/>
      <c r="L94" s="23" t="n"/>
    </row>
    <row r="95" ht="26" customHeight="1">
      <c r="A95" s="52" t="inlineStr">
        <is>
          <t>1.  Do not use Indian s.10(13A) HRA (50%/40% of salary, rent − 10%). That is a frequent mix-up and will score zero.</t>
        </is>
      </c>
      <c r="B95" s="53" t="n"/>
      <c r="C95" s="53" t="n"/>
      <c r="D95" s="53" t="n"/>
      <c r="E95" s="53" t="n"/>
      <c r="F95" s="53" t="n"/>
      <c r="G95" s="53" t="n"/>
      <c r="H95" s="53" t="n"/>
      <c r="I95" s="53" t="n"/>
      <c r="J95" s="53" t="n"/>
      <c r="K95" s="53" t="n"/>
      <c r="L95" s="53" t="n"/>
    </row>
    <row r="96" ht="26" customHeight="1">
      <c r="A96" s="54" t="inlineStr">
        <is>
          <t>2.  Write the working as: Gross employment income (after s.32(2)) − composite exemption = taxable employment income.</t>
        </is>
      </c>
      <c r="B96" s="55" t="n"/>
      <c r="C96" s="55" t="n"/>
      <c r="D96" s="55" t="n"/>
      <c r="E96" s="55" t="n"/>
      <c r="F96" s="55" t="n"/>
      <c r="G96" s="55" t="n"/>
      <c r="H96" s="55" t="n"/>
      <c r="I96" s="55" t="n"/>
      <c r="J96" s="55" t="n"/>
      <c r="K96" s="55" t="n"/>
      <c r="L96" s="55" t="n"/>
    </row>
    <row r="97" ht="26" customHeight="1">
      <c r="A97" s="52" t="inlineStr">
        <is>
          <t>3.  Festival bonus is salary; incentive bonus is a perquisite — both are taxable to the employee. The perquisite label matters for the employer's s.55 disallowance, not for excluding it from the employee.</t>
        </is>
      </c>
      <c r="B97" s="53" t="n"/>
      <c r="C97" s="53" t="n"/>
      <c r="D97" s="53" t="n"/>
      <c r="E97" s="53" t="n"/>
      <c r="F97" s="53" t="n"/>
      <c r="G97" s="53" t="n"/>
      <c r="H97" s="53" t="n"/>
      <c r="I97" s="53" t="n"/>
      <c r="J97" s="53" t="n"/>
      <c r="K97" s="53" t="n"/>
      <c r="L97" s="53" t="n"/>
    </row>
    <row r="98" ht="26" customHeight="1">
      <c r="A98" s="54" t="inlineStr">
        <is>
          <t>4.  Shareholder-director loses the s.32(2)(a) medical exclusion. Always check that fact in the question.</t>
        </is>
      </c>
      <c r="B98" s="55" t="n"/>
      <c r="C98" s="55" t="n"/>
      <c r="D98" s="55" t="n"/>
      <c r="E98" s="55" t="n"/>
      <c r="F98" s="55" t="n"/>
      <c r="G98" s="55" t="n"/>
      <c r="H98" s="55" t="n"/>
      <c r="I98" s="55" t="n"/>
      <c r="J98" s="55" t="n"/>
      <c r="K98" s="55" t="n"/>
      <c r="L98" s="55" t="n"/>
    </row>
    <row r="99" ht="26" customHeight="1">
      <c r="A99" s="52" t="inlineStr">
        <is>
          <t>5.  Government-employee extra exemptions come from NBR notification, not from s.32 itself. State the notification if you use them.</t>
        </is>
      </c>
      <c r="B99" s="53" t="n"/>
      <c r="C99" s="53" t="n"/>
      <c r="D99" s="53" t="n"/>
      <c r="E99" s="53" t="n"/>
      <c r="F99" s="53" t="n"/>
      <c r="G99" s="53" t="n"/>
      <c r="H99" s="53" t="n"/>
      <c r="I99" s="53" t="n"/>
      <c r="J99" s="53" t="n"/>
      <c r="K99" s="53" t="n"/>
      <c r="L99" s="53" t="n"/>
    </row>
    <row r="100" ht="26" customHeight="1">
      <c r="A100" s="54" t="inlineStr">
        <is>
          <t>6.  Employee PF is not deducted again under this head. Put it in the rebate working.</t>
        </is>
      </c>
      <c r="B100" s="55" t="n"/>
      <c r="C100" s="55" t="n"/>
      <c r="D100" s="55" t="n"/>
      <c r="E100" s="55" t="n"/>
      <c r="F100" s="55" t="n"/>
      <c r="G100" s="55" t="n"/>
      <c r="H100" s="55" t="n"/>
      <c r="I100" s="55" t="n"/>
      <c r="J100" s="55" t="n"/>
      <c r="K100" s="55" t="n"/>
      <c r="L100" s="55" t="n"/>
    </row>
    <row r="101" ht="26" customHeight="1">
      <c r="A101" s="52" t="inlineStr">
        <is>
          <t>7.  If accommodation and cash HRA both appear, include both (cash + s.33 value). There is no 'either/or' under ITA 2023.</t>
        </is>
      </c>
      <c r="B101" s="53" t="n"/>
      <c r="C101" s="53" t="n"/>
      <c r="D101" s="53" t="n"/>
      <c r="E101" s="53" t="n"/>
      <c r="F101" s="53" t="n"/>
      <c r="G101" s="53" t="n"/>
      <c r="H101" s="53" t="n"/>
      <c r="I101" s="53" t="n"/>
      <c r="J101" s="53" t="n"/>
      <c r="K101" s="53" t="n"/>
      <c r="L101" s="53" t="n"/>
    </row>
    <row r="102" ht="26" customHeight="1">
      <c r="A102" s="54" t="inlineStr">
        <is>
          <t>8.  Arrear salary: taxable in the year of receipt unless already taxed. Do not spread it backwards unless the question invokes a specific relief.</t>
        </is>
      </c>
      <c r="B102" s="55" t="n"/>
      <c r="C102" s="55" t="n"/>
      <c r="D102" s="55" t="n"/>
      <c r="E102" s="55" t="n"/>
      <c r="F102" s="55" t="n"/>
      <c r="G102" s="55" t="n"/>
      <c r="H102" s="55" t="n"/>
      <c r="I102" s="55" t="n"/>
      <c r="J102" s="55" t="n"/>
      <c r="K102" s="55" t="n"/>
      <c r="L102" s="55" t="n"/>
    </row>
    <row r="104" ht="20" customHeight="1">
      <c r="A104" s="23" t="inlineStr">
        <is>
          <t xml:space="preserve">  G   ASSUMPTIONS / NOTES</t>
        </is>
      </c>
      <c r="B104" s="23" t="n"/>
      <c r="C104" s="23" t="n"/>
      <c r="D104" s="23" t="n"/>
      <c r="E104" s="23" t="n"/>
      <c r="F104" s="23" t="n"/>
      <c r="G104" s="23" t="n"/>
      <c r="H104" s="23" t="n"/>
      <c r="I104" s="23" t="n"/>
      <c r="J104" s="23" t="n"/>
      <c r="K104" s="23" t="n"/>
      <c r="L104" s="23" t="n"/>
    </row>
    <row r="105" ht="32" customHeight="1">
      <c r="A105" s="56" t="inlineStr">
        <is>
          <t>1.  Working year is the AY shown on the Home sheet (default 2026-27). Employment-exemption cap is the named range P_EmpCap.</t>
        </is>
      </c>
      <c r="B105" s="57" t="n"/>
      <c r="C105" s="57" t="n"/>
      <c r="D105" s="57" t="n"/>
      <c r="E105" s="57" t="n"/>
      <c r="F105" s="57" t="n"/>
      <c r="G105" s="57" t="n"/>
      <c r="H105" s="57" t="n"/>
      <c r="I105" s="57" t="n"/>
      <c r="J105" s="57" t="n"/>
      <c r="K105" s="57" t="n"/>
      <c r="L105" s="57" t="n"/>
    </row>
    <row r="106" ht="32" customHeight="1">
      <c r="A106" s="56" t="inlineStr">
        <is>
          <t>2.  Vehicle monthly values follow the s.33 table as summarised by PwC (Dec 2025). If your ICAB manual prints a different table, overwrite the calculator note and the monthly-value formula.</t>
        </is>
      </c>
      <c r="B106" s="57" t="n"/>
      <c r="C106" s="57" t="n"/>
      <c r="D106" s="57" t="n"/>
      <c r="E106" s="57" t="n"/>
      <c r="F106" s="57" t="n"/>
      <c r="G106" s="57" t="n"/>
      <c r="H106" s="57" t="n"/>
      <c r="I106" s="57" t="n"/>
      <c r="J106" s="57" t="n"/>
      <c r="K106" s="57" t="n"/>
      <c r="L106" s="57" t="n"/>
    </row>
    <row r="107" ht="32" customHeight="1">
      <c r="A107" s="56" t="inlineStr">
        <is>
          <t>3.  Employer contribution to recognised PF is treated as excluded. If the fund is unrecognised, change that row to Include.</t>
        </is>
      </c>
      <c r="B107" s="57" t="n"/>
      <c r="C107" s="57" t="n"/>
      <c r="D107" s="57" t="n"/>
      <c r="E107" s="57" t="n"/>
      <c r="F107" s="57" t="n"/>
      <c r="G107" s="57" t="n"/>
      <c r="H107" s="57" t="n"/>
      <c r="I107" s="57" t="n"/>
      <c r="J107" s="57" t="n"/>
      <c r="K107" s="57" t="n"/>
      <c r="L107" s="57" t="n"/>
    </row>
    <row r="108" ht="32" customHeight="1">
      <c r="A108" s="56" t="inlineStr">
        <is>
          <t>4.  No LFA / leave-passage exemption is built in (removed as a separate deduction under ITA 2023).</t>
        </is>
      </c>
      <c r="B108" s="57" t="n"/>
      <c r="C108" s="57" t="n"/>
      <c r="D108" s="57" t="n"/>
      <c r="E108" s="57" t="n"/>
      <c r="F108" s="57" t="n"/>
      <c r="G108" s="57" t="n"/>
      <c r="H108" s="57" t="n"/>
      <c r="I108" s="57" t="n"/>
      <c r="J108" s="57" t="n"/>
      <c r="K108" s="57" t="n"/>
      <c r="L108" s="57" t="n"/>
    </row>
    <row r="110" ht="20" customHeight="1">
      <c r="A110" s="23" t="inlineStr">
        <is>
          <t xml:space="preserve">  H   LEGAL REFERENCES</t>
        </is>
      </c>
      <c r="B110" s="23" t="n"/>
      <c r="C110" s="23" t="n"/>
      <c r="D110" s="23" t="n"/>
      <c r="E110" s="23" t="n"/>
      <c r="F110" s="23" t="n"/>
      <c r="G110" s="23" t="n"/>
      <c r="H110" s="23" t="n"/>
      <c r="I110" s="23" t="n"/>
      <c r="J110" s="23" t="n"/>
      <c r="K110" s="23" t="n"/>
      <c r="L110" s="23" t="n"/>
    </row>
    <row r="111" ht="16" customHeight="1">
      <c r="A111" s="58" t="inlineStr">
        <is>
          <t>•  ITA 2023 ss.32–34 (Chapter II — Income from employment).</t>
        </is>
      </c>
    </row>
    <row r="112" ht="16" customHeight="1">
      <c r="A112" s="58" t="inlineStr">
        <is>
          <t>•  s.33 valuation table of perquisites, allowances and benefits.</t>
        </is>
      </c>
    </row>
    <row r="113" ht="16" customHeight="1">
      <c r="A113" s="58" t="inlineStr">
        <is>
          <t>•  s.34 employee share scheme.</t>
        </is>
      </c>
    </row>
    <row r="114" ht="16" customHeight="1">
      <c r="A114" s="58" t="inlineStr">
        <is>
          <t>•  s.76 / s.77 and Sixth Schedule, Part A — employment exemption (paragraph number: VERIFY).</t>
        </is>
      </c>
    </row>
    <row r="115" ht="16" customHeight="1">
      <c r="A115" s="58" t="inlineStr">
        <is>
          <t>•  s.86 TDS from employment; s.150 credit of tax deducted.</t>
        </is>
      </c>
    </row>
    <row r="116" ht="16" customHeight="1">
      <c r="A116" s="58" t="inlineStr">
        <is>
          <t>•  Finance Ordinance 2025 — cap raised to BDT 500,000. Subsequent Finance Act: VERIFY.</t>
        </is>
      </c>
    </row>
    <row r="117" ht="16" customHeight="1">
      <c r="A117" s="58" t="inlineStr">
        <is>
          <t>•  NBR notification on government-employee allowances (if the assessee is a public servant).</t>
        </is>
      </c>
    </row>
  </sheetData>
  <mergeCells count="66">
    <mergeCell ref="D21:L21"/>
    <mergeCell ref="A16:L16"/>
    <mergeCell ref="D27:L27"/>
    <mergeCell ref="G6:I6"/>
    <mergeCell ref="A41:L41"/>
    <mergeCell ref="A90:L90"/>
    <mergeCell ref="A108:L108"/>
    <mergeCell ref="A99:L99"/>
    <mergeCell ref="D32:L32"/>
    <mergeCell ref="A89:L89"/>
    <mergeCell ref="A80:L80"/>
    <mergeCell ref="A18:L18"/>
    <mergeCell ref="A105:L105"/>
    <mergeCell ref="A12:L12"/>
    <mergeCell ref="A95:L95"/>
    <mergeCell ref="A101:L101"/>
    <mergeCell ref="A2:L2"/>
    <mergeCell ref="A113:L113"/>
    <mergeCell ref="A104:L104"/>
    <mergeCell ref="D37:L37"/>
    <mergeCell ref="A71:L71"/>
    <mergeCell ref="D28:L28"/>
    <mergeCell ref="A116:L116"/>
    <mergeCell ref="A8:L8"/>
    <mergeCell ref="A14:L14"/>
    <mergeCell ref="A97:L97"/>
    <mergeCell ref="A106:L106"/>
    <mergeCell ref="D25:L25"/>
    <mergeCell ref="A100:L100"/>
    <mergeCell ref="D24:L24"/>
    <mergeCell ref="D30:L30"/>
    <mergeCell ref="A96:L96"/>
    <mergeCell ref="D33:L33"/>
    <mergeCell ref="A10:L10"/>
    <mergeCell ref="D29:L29"/>
    <mergeCell ref="A112:L112"/>
    <mergeCell ref="D23:L23"/>
    <mergeCell ref="D38:L38"/>
    <mergeCell ref="A115:L115"/>
    <mergeCell ref="A117:L117"/>
    <mergeCell ref="A13:L13"/>
    <mergeCell ref="A111:L111"/>
    <mergeCell ref="A102:L102"/>
    <mergeCell ref="D26:L26"/>
    <mergeCell ref="A40:L40"/>
    <mergeCell ref="A9:L9"/>
    <mergeCell ref="D35:L35"/>
    <mergeCell ref="D20:L20"/>
    <mergeCell ref="A114:L114"/>
    <mergeCell ref="C6:E6"/>
    <mergeCell ref="A92:L92"/>
    <mergeCell ref="A15:L15"/>
    <mergeCell ref="D34:L34"/>
    <mergeCell ref="A64:L64"/>
    <mergeCell ref="A98:L98"/>
    <mergeCell ref="A11:L11"/>
    <mergeCell ref="C74:H74"/>
    <mergeCell ref="A107:L107"/>
    <mergeCell ref="A1:L1"/>
    <mergeCell ref="A94:L94"/>
    <mergeCell ref="D22:L22"/>
    <mergeCell ref="D31:L31"/>
    <mergeCell ref="A88:L88"/>
    <mergeCell ref="A110:L110"/>
    <mergeCell ref="D36:L36"/>
    <mergeCell ref="A87:L87"/>
  </mergeCells>
  <dataValidations count="2">
    <dataValidation sqref="C43:C61" showDropDown="0" showInputMessage="0" showErrorMessage="0" allowBlank="1" errorTitle="Invalid entry" error="Select a value from the list" promptTitle="Input" prompt="Select from the list" type="list">
      <formula1>"Include,Exclude"</formula1>
    </dataValidation>
    <dataValidation sqref="G43:G61" showDropDown="0" showInputMessage="0" showErrorMessage="0" allowBlank="1" errorTitle="Invalid entry" error="Select a value from the list" promptTitle="Input" prompt="Select from the list" type="list">
      <formula1>"Taxable,Exempt,Partially Taxable,Special Rate,Not Applicable"</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Employment</oddHeader>
    <oddFooter>&amp;L&amp;8Bangladesh Income Tax Act, 2023  |  For study / exam practice — verify Finance Act of the exam year&amp;R&amp;8Page &amp;P of &amp;N</oddFooter>
    <evenHeader/>
    <evenFooter/>
    <firstHeader/>
    <firstFooter/>
  </headerFooter>
</worksheet>
</file>

<file path=xl/worksheets/sheet2.xml><?xml version="1.0" encoding="utf-8"?>
<worksheet xmlns="http://schemas.openxmlformats.org/spreadsheetml/2006/main">
  <sheetPr>
    <tabColor rgb="001F6F6A"/>
    <outlinePr summaryBelow="1" summaryRight="1"/>
    <pageSetUpPr fitToPage="1"/>
  </sheetPr>
  <dimension ref="A1:L78"/>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FINANCIAL ASSETS  ·  ALL AMOUNTS IN BDT (৳)</t>
        </is>
      </c>
      <c r="B1" s="2" t="n"/>
      <c r="C1" s="2" t="n"/>
      <c r="D1" s="2" t="n"/>
      <c r="E1" s="2" t="n"/>
      <c r="F1" s="2" t="n"/>
      <c r="G1" s="2" t="n"/>
      <c r="H1" s="2" t="n"/>
      <c r="I1" s="2" t="n"/>
      <c r="J1" s="2" t="n"/>
      <c r="K1" s="2" t="n"/>
      <c r="L1" s="2" t="n"/>
    </row>
    <row r="2" ht="16" customHeight="1">
      <c r="A2" s="3" t="inlineStr">
        <is>
          <t>ITA 2023  Chapter VII  ss.62–65  |  Interest, profit, discount and dividend  |  Capital gain on transfer of a financial asset is NOT this head (see Capital Gain)  |  TDS is a credit, not a deduction</t>
        </is>
      </c>
      <c r="B2" s="4" t="n"/>
      <c r="C2" s="4" t="n"/>
      <c r="D2" s="4" t="n"/>
      <c r="E2" s="4" t="n"/>
      <c r="F2" s="4" t="n"/>
      <c r="G2" s="4" t="n"/>
      <c r="H2" s="4" t="n"/>
      <c r="I2" s="4" t="n"/>
      <c r="J2" s="4" t="n"/>
      <c r="K2" s="4" t="n"/>
      <c r="L2" s="4" t="n"/>
    </row>
    <row r="3" ht="18" customHeight="1">
      <c r="A3" s="5" t="inlineStr">
        <is>
          <t>HOME / Summary</t>
        </is>
      </c>
      <c r="B3" s="5" t="inlineStr">
        <is>
          <t>Employment</t>
        </is>
      </c>
      <c r="C3" s="6" t="inlineStr">
        <is>
          <t>Financial Assets</t>
        </is>
      </c>
      <c r="D3" s="5" t="inlineStr">
        <is>
          <t>Rent</t>
        </is>
      </c>
      <c r="E3" s="5" t="inlineStr">
        <is>
          <t>Agriculture</t>
        </is>
      </c>
      <c r="F3" s="5"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28" customHeight="1">
      <c r="A9" s="24" t="inlineStr">
        <is>
          <t>•  Definition: Income from financial assets covers interest, profit and discount on government / government-approved securities, on debentures and securities issued by a company or local authority, interest or profit on bank deposits and other financial products or schemes, and dividend (s.62). Capital gains from transferring those assets belong under Capital Gains, not here.</t>
        </is>
      </c>
      <c r="B9" s="25" t="n"/>
      <c r="C9" s="25" t="n"/>
      <c r="D9" s="25" t="n"/>
      <c r="E9" s="25" t="n"/>
      <c r="F9" s="25" t="n"/>
      <c r="G9" s="25" t="n"/>
      <c r="H9" s="25" t="n"/>
      <c r="I9" s="25" t="n"/>
      <c r="J9" s="25" t="n"/>
      <c r="K9" s="25" t="n"/>
      <c r="L9" s="25" t="n"/>
    </row>
    <row r="10" ht="28" customHeight="1">
      <c r="A10" s="24" t="inlineStr">
        <is>
          <t>•  What falls here: FDR / SND / savings-account interest; profit on Islamic deposits; discount on treasury bills; interest on Bangladesh Government Treasury Bonds and approved savings instruments; interest on corporate debentures / bonds; dividend (including unit-holder distributions treated as dividend).</t>
        </is>
      </c>
      <c r="B10" s="25" t="n"/>
      <c r="C10" s="25" t="n"/>
      <c r="D10" s="25" t="n"/>
      <c r="E10" s="25" t="n"/>
      <c r="F10" s="25" t="n"/>
      <c r="G10" s="25" t="n"/>
      <c r="H10" s="25" t="n"/>
      <c r="I10" s="25" t="n"/>
      <c r="J10" s="25" t="n"/>
      <c r="K10" s="25" t="n"/>
      <c r="L10" s="25" t="n"/>
    </row>
    <row r="11" ht="28" customHeight="1">
      <c r="A11" s="24" t="inlineStr">
        <is>
          <t>•  Exclusions: capital gain on sale of shares/securities; interest that is really business income of a bank / NBFI (those entities compute it under business); casual interest that the question clearly places elsewhere.</t>
        </is>
      </c>
      <c r="B11" s="25" t="n"/>
      <c r="C11" s="25" t="n"/>
      <c r="D11" s="25" t="n"/>
      <c r="E11" s="25" t="n"/>
      <c r="F11" s="25" t="n"/>
      <c r="G11" s="25" t="n"/>
      <c r="H11" s="25" t="n"/>
      <c r="I11" s="25" t="n"/>
      <c r="J11" s="25" t="n"/>
      <c r="K11" s="25" t="n"/>
      <c r="L11" s="25" t="n"/>
    </row>
    <row r="12" ht="28" customHeight="1">
      <c r="A12" s="24" t="inlineStr">
        <is>
          <t>•  Allowable expenditure (s.64): collection charges / banker commission wholly for earning this income, not capital, not personal. s.65 disallows deductions in specified cases (including, typically, where TDS rules are ignored — VERIFY).</t>
        </is>
      </c>
      <c r="B12" s="25" t="n"/>
      <c r="C12" s="25" t="n"/>
      <c r="D12" s="25" t="n"/>
      <c r="E12" s="25" t="n"/>
      <c r="F12" s="25" t="n"/>
      <c r="G12" s="25" t="n"/>
      <c r="H12" s="25" t="n"/>
      <c r="I12" s="25" t="n"/>
      <c r="J12" s="25" t="n"/>
      <c r="K12" s="25" t="n"/>
      <c r="L12" s="25" t="n"/>
    </row>
    <row r="13" ht="28" customHeight="1">
      <c r="A13" s="24" t="inlineStr">
        <is>
          <t>•  Dividend of an individual is generally charged at a special 15% rate (Seventh Schedule). Do not put it through the regular slab. Interest is normally regular-rate income unless a specific instrument is exempt or final-tax.</t>
        </is>
      </c>
      <c r="B13" s="25" t="n"/>
      <c r="C13" s="25" t="n"/>
      <c r="D13" s="25" t="n"/>
      <c r="E13" s="25" t="n"/>
      <c r="F13" s="25" t="n"/>
      <c r="G13" s="25" t="n"/>
      <c r="H13" s="25" t="n"/>
      <c r="I13" s="25" t="n"/>
      <c r="J13" s="25" t="n"/>
      <c r="K13" s="25" t="n"/>
      <c r="L13" s="25" t="n"/>
    </row>
    <row r="14" ht="28" customHeight="1">
      <c r="A14" s="24" t="inlineStr">
        <is>
          <t>•  ICAB points: (1) Never deduct TDS from the interest line. (2) Do not classify listed-share CG as financial-asset income. (3) Bond-washing / cum-interest vs ex-interest can still be examined conceptually. (4) 'Tax-free' securities are rare — only claim exemption if the question or Sixth Schedule says so. (5) Some savings-certificate interest historically had special treatment — VERIFY the exam-year SRO rather than assuming exemption.</t>
        </is>
      </c>
      <c r="B14" s="25" t="n"/>
      <c r="C14" s="25" t="n"/>
      <c r="D14" s="25" t="n"/>
      <c r="E14" s="25" t="n"/>
      <c r="F14" s="25" t="n"/>
      <c r="G14" s="25" t="n"/>
      <c r="H14" s="25" t="n"/>
      <c r="I14" s="25" t="n"/>
      <c r="J14" s="25" t="n"/>
      <c r="K14" s="25" t="n"/>
      <c r="L14" s="25" t="n"/>
    </row>
    <row r="16" ht="20" customHeight="1">
      <c r="A16" s="23" t="inlineStr">
        <is>
          <t xml:space="preserve">  B   TYPES OF INCOME  —  TAX TREATMENT</t>
        </is>
      </c>
      <c r="B16" s="23" t="n"/>
      <c r="C16" s="23" t="n"/>
      <c r="D16" s="23" t="n"/>
      <c r="E16" s="23" t="n"/>
      <c r="F16" s="23" t="n"/>
      <c r="G16" s="23" t="n"/>
      <c r="H16" s="23" t="n"/>
      <c r="I16" s="23" t="n"/>
      <c r="J16" s="23" t="n"/>
      <c r="K16" s="23" t="n"/>
      <c r="L16" s="23" t="n"/>
    </row>
    <row r="17" ht="28" customHeight="1">
      <c r="A17" s="26" t="inlineStr">
        <is>
          <t>Particular</t>
        </is>
      </c>
      <c r="B17" s="26" t="inlineStr">
        <is>
          <t>Tax treatment</t>
        </is>
      </c>
      <c r="C17" s="26" t="inlineStr">
        <is>
          <t>Relevant provision</t>
        </is>
      </c>
      <c r="D17" s="26" t="inlineStr">
        <is>
          <t>Example / exam note</t>
        </is>
      </c>
      <c r="E17" s="26" t="inlineStr"/>
      <c r="F17" s="26" t="inlineStr"/>
      <c r="G17" s="26" t="inlineStr"/>
      <c r="H17" s="26" t="inlineStr"/>
      <c r="I17" s="26" t="inlineStr"/>
      <c r="J17" s="26" t="inlineStr"/>
      <c r="K17" s="26" t="inlineStr"/>
      <c r="L17" s="26" t="inlineStr"/>
    </row>
    <row r="18" ht="18" customHeight="1">
      <c r="A18" s="27" t="inlineStr">
        <is>
          <t>Interest / profit on FDR, SND, savings account</t>
        </is>
      </c>
      <c r="B18" s="27" t="inlineStr">
        <is>
          <t>Taxable at regular slab</t>
        </is>
      </c>
      <c r="C18" s="27" t="inlineStr">
        <is>
          <t>s.62</t>
        </is>
      </c>
      <c r="D18" s="27" t="inlineStr">
        <is>
          <t>TDS by the bank is a credit.</t>
        </is>
      </c>
      <c r="E18" s="27" t="n"/>
      <c r="F18" s="27" t="n"/>
      <c r="G18" s="27" t="n"/>
      <c r="H18" s="27" t="n"/>
      <c r="I18" s="27" t="n"/>
      <c r="J18" s="27" t="n"/>
      <c r="K18" s="27" t="n"/>
      <c r="L18" s="27" t="n"/>
    </row>
    <row r="19" ht="18" customHeight="1">
      <c r="A19" s="29" t="inlineStr">
        <is>
          <t>Interest / profit / discount on government securities</t>
        </is>
      </c>
      <c r="B19" s="29" t="inlineStr">
        <is>
          <t>Usually taxable; some issues may be exempt — VERIFY</t>
        </is>
      </c>
      <c r="C19" s="29" t="inlineStr">
        <is>
          <t>s.62; Sixth Schedule — VERIFY</t>
        </is>
      </c>
      <c r="D19" s="29" t="inlineStr">
        <is>
          <t>Do not assume T-bond interest is tax-free.</t>
        </is>
      </c>
      <c r="E19" s="29" t="n"/>
      <c r="F19" s="29" t="n"/>
      <c r="G19" s="29" t="n"/>
      <c r="H19" s="29" t="n"/>
      <c r="I19" s="29" t="n"/>
      <c r="J19" s="29" t="n"/>
      <c r="K19" s="29" t="n"/>
      <c r="L19" s="29" t="n"/>
    </row>
    <row r="20" ht="18" customHeight="1">
      <c r="A20" s="27" t="inlineStr">
        <is>
          <t>Interest on corporate debenture / bond</t>
        </is>
      </c>
      <c r="B20" s="27" t="inlineStr">
        <is>
          <t>Taxable at regular slab</t>
        </is>
      </c>
      <c r="C20" s="27" t="inlineStr">
        <is>
          <t>s.62</t>
        </is>
      </c>
      <c r="D20" s="27" t="inlineStr">
        <is>
          <t>Distinct from CG on sale of the bond.</t>
        </is>
      </c>
      <c r="E20" s="27" t="n"/>
      <c r="F20" s="27" t="n"/>
      <c r="G20" s="27" t="n"/>
      <c r="H20" s="27" t="n"/>
      <c r="I20" s="27" t="n"/>
      <c r="J20" s="27" t="n"/>
      <c r="K20" s="27" t="n"/>
      <c r="L20" s="27" t="n"/>
    </row>
    <row r="21" ht="18" customHeight="1">
      <c r="A21" s="29" t="inlineStr">
        <is>
          <t>Discount on treasury bill / zero-coupon (if taxable)</t>
        </is>
      </c>
      <c r="B21" s="29" t="inlineStr">
        <is>
          <t>Taxable as this head</t>
        </is>
      </c>
      <c r="C21" s="29" t="inlineStr">
        <is>
          <t>s.62</t>
        </is>
      </c>
      <c r="D21" s="29" t="inlineStr">
        <is>
          <t>Zero-coupon exemption existed historically — VERIFY.</t>
        </is>
      </c>
      <c r="E21" s="29" t="n"/>
      <c r="F21" s="29" t="n"/>
      <c r="G21" s="29" t="n"/>
      <c r="H21" s="29" t="n"/>
      <c r="I21" s="29" t="n"/>
      <c r="J21" s="29" t="n"/>
      <c r="K21" s="29" t="n"/>
      <c r="L21" s="29" t="n"/>
    </row>
    <row r="22" ht="18" customHeight="1">
      <c r="A22" s="27" t="inlineStr">
        <is>
          <t>Dividend from a Bangladeshi company / units treated as dividend</t>
        </is>
      </c>
      <c r="B22" s="27" t="inlineStr">
        <is>
          <t>Special rate (default 15%)</t>
        </is>
      </c>
      <c r="C22" s="27" t="inlineStr">
        <is>
          <t>s.62; Seventh Schedule</t>
        </is>
      </c>
      <c r="D22" s="27" t="inlineStr">
        <is>
          <t>WHT 15% resident individual / 25% non-resident (PwC).</t>
        </is>
      </c>
      <c r="E22" s="27" t="n"/>
      <c r="F22" s="27" t="n"/>
      <c r="G22" s="27" t="n"/>
      <c r="H22" s="27" t="n"/>
      <c r="I22" s="27" t="n"/>
      <c r="J22" s="27" t="n"/>
      <c r="K22" s="27" t="n"/>
      <c r="L22" s="27" t="n"/>
    </row>
    <row r="23" ht="18" customHeight="1">
      <c r="A23" s="29" t="inlineStr">
        <is>
          <t>Inter-corporate tax-paid dividend</t>
        </is>
      </c>
      <c r="B23" s="29" t="inlineStr">
        <is>
          <t>May be excluded if conditions met</t>
        </is>
      </c>
      <c r="C23" s="29" t="inlineStr">
        <is>
          <t>VERIFY</t>
        </is>
      </c>
      <c r="D23" s="29" t="inlineStr">
        <is>
          <t>More relevant to companies than to individuals.</t>
        </is>
      </c>
      <c r="E23" s="29" t="n"/>
      <c r="F23" s="29" t="n"/>
      <c r="G23" s="29" t="n"/>
      <c r="H23" s="29" t="n"/>
      <c r="I23" s="29" t="n"/>
      <c r="J23" s="29" t="n"/>
      <c r="K23" s="29" t="n"/>
      <c r="L23" s="29" t="n"/>
    </row>
    <row r="24" ht="18" customHeight="1">
      <c r="A24" s="59" t="inlineStr">
        <is>
          <t>Capital gain on sale of shares / securities</t>
        </is>
      </c>
      <c r="B24" s="59" t="inlineStr">
        <is>
          <t>NOT this head</t>
        </is>
      </c>
      <c r="C24" s="59" t="inlineStr">
        <is>
          <t>s.57–61</t>
        </is>
      </c>
      <c r="D24" s="59" t="inlineStr">
        <is>
          <t>Move to the Capital Gain sheet.</t>
        </is>
      </c>
      <c r="E24" s="59" t="n"/>
      <c r="F24" s="59" t="n"/>
      <c r="G24" s="59" t="n"/>
      <c r="H24" s="59" t="n"/>
      <c r="I24" s="59" t="n"/>
      <c r="J24" s="59" t="n"/>
      <c r="K24" s="59" t="n"/>
      <c r="L24" s="59" t="n"/>
    </row>
    <row r="25" ht="18" customHeight="1">
      <c r="A25" s="29" t="inlineStr">
        <is>
          <t>Collection charges / banker commission</t>
        </is>
      </c>
      <c r="B25" s="29" t="inlineStr">
        <is>
          <t>Allowable deduction</t>
        </is>
      </c>
      <c r="C25" s="29" t="inlineStr">
        <is>
          <t>s.64</t>
        </is>
      </c>
      <c r="D25" s="29" t="inlineStr">
        <is>
          <t>Must be wholly for earning this income.</t>
        </is>
      </c>
      <c r="E25" s="29" t="n"/>
      <c r="F25" s="29" t="n"/>
      <c r="G25" s="29" t="n"/>
      <c r="H25" s="29" t="n"/>
      <c r="I25" s="29" t="n"/>
      <c r="J25" s="29" t="n"/>
      <c r="K25" s="29" t="n"/>
      <c r="L25" s="29" t="n"/>
    </row>
    <row r="26" ht="18" customHeight="1">
      <c r="A26" s="59" t="inlineStr">
        <is>
          <t>TDS on interest or dividend</t>
        </is>
      </c>
      <c r="B26" s="59" t="inlineStr">
        <is>
          <t>Credit only</t>
        </is>
      </c>
      <c r="C26" s="59" t="inlineStr">
        <is>
          <t>s.150</t>
        </is>
      </c>
      <c r="D26" s="59" t="inlineStr">
        <is>
          <t>Never reduce the income.</t>
        </is>
      </c>
      <c r="E26" s="59" t="n"/>
      <c r="F26" s="59" t="n"/>
      <c r="G26" s="59" t="n"/>
      <c r="H26" s="59" t="n"/>
      <c r="I26" s="59" t="n"/>
      <c r="J26" s="59" t="n"/>
      <c r="K26" s="59" t="n"/>
      <c r="L26" s="59" t="n"/>
    </row>
    <row r="28" ht="20" customHeight="1">
      <c r="A28" s="23" t="inlineStr">
        <is>
          <t xml:space="preserve">  C   COMPUTATION TEMPLATE</t>
        </is>
      </c>
      <c r="B28" s="23" t="n"/>
      <c r="C28" s="23" t="n"/>
      <c r="D28" s="23" t="n"/>
      <c r="E28" s="23" t="n"/>
      <c r="F28" s="23" t="n"/>
      <c r="G28" s="23" t="n"/>
      <c r="H28" s="23" t="n"/>
      <c r="I28" s="23" t="n"/>
      <c r="J28" s="23" t="n"/>
      <c r="K28" s="23" t="n"/>
      <c r="L28" s="23" t="n"/>
    </row>
    <row r="29" ht="18" customHeight="1">
      <c r="A29" s="32" t="inlineStr">
        <is>
          <t>Column C classifies the line as Regular / Dividend (special) / Exempt. TDS is memo only.</t>
        </is>
      </c>
      <c r="B29" s="33" t="n"/>
      <c r="C29" s="33" t="n"/>
      <c r="D29" s="33" t="n"/>
      <c r="E29" s="33" t="n"/>
      <c r="F29" s="33" t="n"/>
      <c r="G29" s="33" t="n"/>
      <c r="H29" s="33" t="n"/>
      <c r="I29" s="33" t="n"/>
      <c r="J29" s="33" t="n"/>
      <c r="K29" s="33" t="n"/>
      <c r="L29" s="33" t="n"/>
    </row>
    <row r="30" ht="28" customHeight="1">
      <c r="A30" s="26" t="inlineStr">
        <is>
          <t>Income item</t>
        </is>
      </c>
      <c r="B30" s="26" t="inlineStr">
        <is>
          <t>Gross (BDT)</t>
        </is>
      </c>
      <c r="C30" s="26" t="inlineStr">
        <is>
          <t>Class</t>
        </is>
      </c>
      <c r="D30" s="26" t="inlineStr">
        <is>
          <t>Taxable regular</t>
        </is>
      </c>
      <c r="E30" s="26" t="inlineStr">
        <is>
          <t>Taxable dividend</t>
        </is>
      </c>
      <c r="F30" s="26" t="inlineStr">
        <is>
          <t>Exempt</t>
        </is>
      </c>
      <c r="G30" s="26" t="inlineStr">
        <is>
          <t>Allowable expense</t>
        </is>
      </c>
      <c r="H30" s="26" t="inlineStr">
        <is>
          <t>Net taxable</t>
        </is>
      </c>
      <c r="I30" s="26" t="inlineStr">
        <is>
          <t>Provision / note</t>
        </is>
      </c>
      <c r="J30" s="26" t="inlineStr">
        <is>
          <t>TDS (memo)</t>
        </is>
      </c>
      <c r="K30" s="26" t="inlineStr">
        <is>
          <t>Check</t>
        </is>
      </c>
      <c r="L30" s="26" t="inlineStr"/>
    </row>
    <row r="31">
      <c r="A31" s="34" t="inlineStr">
        <is>
          <t>FDR interest (scheduled bank)</t>
        </is>
      </c>
      <c r="B31" s="35" t="n">
        <v>180000</v>
      </c>
      <c r="C31" s="36" t="inlineStr">
        <is>
          <t>Regular</t>
        </is>
      </c>
      <c r="D31" s="37">
        <f>IF(C31="Regular",B31,0)</f>
        <v/>
      </c>
      <c r="E31" s="37">
        <f>IF(C31="Dividend",B31,0)</f>
        <v/>
      </c>
      <c r="F31" s="37">
        <f>IF(C31="Exempt",B31,0)</f>
        <v/>
      </c>
      <c r="G31" s="35" t="n">
        <v>0</v>
      </c>
      <c r="H31" s="37">
        <f>MAX(D31+E31-G31,0)</f>
        <v/>
      </c>
      <c r="I31" s="38" t="inlineStr">
        <is>
          <t>s.62 — regular slab; TDS is a credit</t>
        </is>
      </c>
      <c r="J31" s="35" t="n">
        <v>18000</v>
      </c>
      <c r="K31" s="39">
        <f>IF(OR(D31+E31+F31&gt;B31+0.001,G31&gt;B31+0.001),"CHECK REQUIRED","OK")</f>
        <v/>
      </c>
    </row>
    <row r="32">
      <c r="A32" s="34" t="inlineStr">
        <is>
          <t>Savings / SND account interest</t>
        </is>
      </c>
      <c r="B32" s="35" t="n">
        <v>12000</v>
      </c>
      <c r="C32" s="36" t="inlineStr">
        <is>
          <t>Regular</t>
        </is>
      </c>
      <c r="D32" s="37">
        <f>IF(C32="Regular",B32,0)</f>
        <v/>
      </c>
      <c r="E32" s="37">
        <f>IF(C32="Dividend",B32,0)</f>
        <v/>
      </c>
      <c r="F32" s="37">
        <f>IF(C32="Exempt",B32,0)</f>
        <v/>
      </c>
      <c r="G32" s="35" t="n">
        <v>0</v>
      </c>
      <c r="H32" s="37">
        <f>MAX(D32+E32-G32,0)</f>
        <v/>
      </c>
      <c r="I32" s="38" t="inlineStr">
        <is>
          <t>s.62</t>
        </is>
      </c>
      <c r="J32" s="35" t="n">
        <v>0</v>
      </c>
      <c r="K32" s="39">
        <f>IF(OR(D32+E32+F32&gt;B32+0.001,G32&gt;B32+0.001),"CHECK REQUIRED","OK")</f>
        <v/>
      </c>
    </row>
    <row r="33">
      <c r="A33" s="34" t="inlineStr">
        <is>
          <t>Interest on Bangladesh Govt Treasury Bond</t>
        </is>
      </c>
      <c r="B33" s="35" t="n">
        <v>40000</v>
      </c>
      <c r="C33" s="36" t="inlineStr">
        <is>
          <t>Regular</t>
        </is>
      </c>
      <c r="D33" s="37">
        <f>IF(C33="Regular",B33,0)</f>
        <v/>
      </c>
      <c r="E33" s="37">
        <f>IF(C33="Dividend",B33,0)</f>
        <v/>
      </c>
      <c r="F33" s="37">
        <f>IF(C33="Exempt",B33,0)</f>
        <v/>
      </c>
      <c r="G33" s="35" t="n">
        <v>0</v>
      </c>
      <c r="H33" s="37">
        <f>MAX(D33+E33-G33,0)</f>
        <v/>
      </c>
      <c r="I33" s="38" t="inlineStr">
        <is>
          <t>Not assumed exempt — VERIFY instrument</t>
        </is>
      </c>
      <c r="J33" s="35" t="n">
        <v>0</v>
      </c>
      <c r="K33" s="39">
        <f>IF(OR(D33+E33+F33&gt;B33+0.001,G33&gt;B33+0.001),"CHECK REQUIRED","OK")</f>
        <v/>
      </c>
    </row>
    <row r="34">
      <c r="A34" s="34" t="inlineStr">
        <is>
          <t>Interest / profit on corporate debenture</t>
        </is>
      </c>
      <c r="B34" s="35" t="n">
        <v>25000</v>
      </c>
      <c r="C34" s="36" t="inlineStr">
        <is>
          <t>Regular</t>
        </is>
      </c>
      <c r="D34" s="37">
        <f>IF(C34="Regular",B34,0)</f>
        <v/>
      </c>
      <c r="E34" s="37">
        <f>IF(C34="Dividend",B34,0)</f>
        <v/>
      </c>
      <c r="F34" s="37">
        <f>IF(C34="Exempt",B34,0)</f>
        <v/>
      </c>
      <c r="G34" s="35" t="n">
        <v>0</v>
      </c>
      <c r="H34" s="37">
        <f>MAX(D34+E34-G34,0)</f>
        <v/>
      </c>
      <c r="I34" s="38" t="inlineStr">
        <is>
          <t>s.62</t>
        </is>
      </c>
      <c r="J34" s="35" t="n">
        <v>0</v>
      </c>
      <c r="K34" s="39">
        <f>IF(OR(D34+E34+F34&gt;B34+0.001,G34&gt;B34+0.001),"CHECK REQUIRED","OK")</f>
        <v/>
      </c>
    </row>
    <row r="35">
      <c r="A35" s="34" t="inlineStr">
        <is>
          <t>Discount on T-bill / other security</t>
        </is>
      </c>
      <c r="B35" s="35" t="n">
        <v>0</v>
      </c>
      <c r="C35" s="36" t="inlineStr">
        <is>
          <t>Regular</t>
        </is>
      </c>
      <c r="D35" s="37">
        <f>IF(C35="Regular",B35,0)</f>
        <v/>
      </c>
      <c r="E35" s="37">
        <f>IF(C35="Dividend",B35,0)</f>
        <v/>
      </c>
      <c r="F35" s="37">
        <f>IF(C35="Exempt",B35,0)</f>
        <v/>
      </c>
      <c r="G35" s="35" t="n">
        <v>0</v>
      </c>
      <c r="H35" s="37">
        <f>MAX(D35+E35-G35,0)</f>
        <v/>
      </c>
      <c r="I35" s="38" t="inlineStr">
        <is>
          <t>Blank line</t>
        </is>
      </c>
      <c r="J35" s="35" t="n">
        <v>0</v>
      </c>
      <c r="K35" s="39">
        <f>IF(OR(D35+E35+F35&gt;B35+0.001,G35&gt;B35+0.001),"CHECK REQUIRED","OK")</f>
        <v/>
      </c>
    </row>
    <row r="36">
      <c r="A36" s="34" t="inlineStr">
        <is>
          <t>Other interest / profit / discount</t>
        </is>
      </c>
      <c r="B36" s="35" t="n">
        <v>0</v>
      </c>
      <c r="C36" s="36" t="inlineStr">
        <is>
          <t>Regular</t>
        </is>
      </c>
      <c r="D36" s="37">
        <f>IF(C36="Regular",B36,0)</f>
        <v/>
      </c>
      <c r="E36" s="37">
        <f>IF(C36="Dividend",B36,0)</f>
        <v/>
      </c>
      <c r="F36" s="37">
        <f>IF(C36="Exempt",B36,0)</f>
        <v/>
      </c>
      <c r="G36" s="35" t="n">
        <v>0</v>
      </c>
      <c r="H36" s="37">
        <f>MAX(D36+E36-G36,0)</f>
        <v/>
      </c>
      <c r="I36" s="38" t="inlineStr">
        <is>
          <t>Blank line</t>
        </is>
      </c>
      <c r="J36" s="35" t="n">
        <v>0</v>
      </c>
      <c r="K36" s="39">
        <f>IF(OR(D36+E36+F36&gt;B36+0.001,G36&gt;B36+0.001),"CHECK REQUIRED","OK")</f>
        <v/>
      </c>
    </row>
    <row r="37">
      <c r="A37" s="34" t="inlineStr">
        <is>
          <t>Cash dividend — listed company (ordinary shareholder)</t>
        </is>
      </c>
      <c r="B37" s="35" t="n">
        <v>80000</v>
      </c>
      <c r="C37" s="36" t="inlineStr">
        <is>
          <t>Dividend</t>
        </is>
      </c>
      <c r="D37" s="37">
        <f>IF(C37="Regular",B37,0)</f>
        <v/>
      </c>
      <c r="E37" s="37">
        <f>IF(C37="Dividend",B37,0)</f>
        <v/>
      </c>
      <c r="F37" s="37">
        <f>IF(C37="Exempt",B37,0)</f>
        <v/>
      </c>
      <c r="G37" s="35" t="n">
        <v>0</v>
      </c>
      <c r="H37" s="37">
        <f>MAX(D37+E37-G37,0)</f>
        <v/>
      </c>
      <c r="I37" s="38" t="inlineStr">
        <is>
          <t>Special 15% rate; not slab</t>
        </is>
      </c>
      <c r="J37" s="35" t="n">
        <v>12000</v>
      </c>
      <c r="K37" s="39">
        <f>IF(OR(D37+E37+F37&gt;B37+0.001,G37&gt;B37+0.001),"CHECK REQUIRED","OK")</f>
        <v/>
      </c>
    </row>
    <row r="38">
      <c r="A38" s="34" t="inlineStr">
        <is>
          <t>Cash dividend — unlisted company</t>
        </is>
      </c>
      <c r="B38" s="35" t="n">
        <v>0</v>
      </c>
      <c r="C38" s="36" t="inlineStr">
        <is>
          <t>Dividend</t>
        </is>
      </c>
      <c r="D38" s="37">
        <f>IF(C38="Regular",B38,0)</f>
        <v/>
      </c>
      <c r="E38" s="37">
        <f>IF(C38="Dividend",B38,0)</f>
        <v/>
      </c>
      <c r="F38" s="37">
        <f>IF(C38="Exempt",B38,0)</f>
        <v/>
      </c>
      <c r="G38" s="35" t="n">
        <v>0</v>
      </c>
      <c r="H38" s="37">
        <f>MAX(D38+E38-G38,0)</f>
        <v/>
      </c>
      <c r="I38" s="38" t="inlineStr">
        <is>
          <t>Still generally 15% for an individual — VERIFY</t>
        </is>
      </c>
      <c r="J38" s="35" t="n">
        <v>12000</v>
      </c>
      <c r="K38" s="39">
        <f>IF(OR(D38+E38+F38&gt;B38+0.001,G38&gt;B38+0.001),"CHECK REQUIRED","OK")</f>
        <v/>
      </c>
    </row>
    <row r="39">
      <c r="A39" s="34" t="inlineStr">
        <is>
          <t>Dividend specifically exempt (if any)</t>
        </is>
      </c>
      <c r="B39" s="35" t="n">
        <v>0</v>
      </c>
      <c r="C39" s="36" t="inlineStr">
        <is>
          <t>Exempt</t>
        </is>
      </c>
      <c r="D39" s="37">
        <f>IF(C39="Regular",B39,0)</f>
        <v/>
      </c>
      <c r="E39" s="37">
        <f>IF(C39="Dividend",B39,0)</f>
        <v/>
      </c>
      <c r="F39" s="37">
        <f>IF(C39="Exempt",B39,0)</f>
        <v/>
      </c>
      <c r="G39" s="35" t="n">
        <v>0</v>
      </c>
      <c r="H39" s="37">
        <f>MAX(D39+E39-G39,0)</f>
        <v/>
      </c>
      <c r="I39" s="38" t="inlineStr">
        <is>
          <t>Only if Sixth Schedule / question says so</t>
        </is>
      </c>
      <c r="J39" s="35" t="n">
        <v>0</v>
      </c>
      <c r="K39" s="39">
        <f>IF(OR(D39+E39+F39&gt;B39+0.001,G39&gt;B39+0.001),"CHECK REQUIRED","OK")</f>
        <v/>
      </c>
    </row>
    <row r="40">
      <c r="A40" s="40" t="inlineStr">
        <is>
          <t>TOTALS</t>
        </is>
      </c>
      <c r="B40" s="41">
        <f>SUM(B31:B39)</f>
        <v/>
      </c>
      <c r="D40" s="41">
        <f>SUM(D31:D39)</f>
        <v/>
      </c>
      <c r="E40" s="41">
        <f>SUM(E31:E39)</f>
        <v/>
      </c>
      <c r="F40" s="41">
        <f>SUM(F31:F39)</f>
        <v/>
      </c>
      <c r="G40" s="41">
        <f>SUM(G31:G39)</f>
        <v/>
      </c>
      <c r="H40" s="41">
        <f>SUM(H31:H39)</f>
        <v/>
      </c>
      <c r="J40" s="41">
        <f>SUM(J31:J39)</f>
        <v/>
      </c>
    </row>
    <row r="42">
      <c r="A42" s="19" t="inlineStr">
        <is>
          <t>Additional collection charges not allocated above (s.64)</t>
        </is>
      </c>
      <c r="B42" s="35" t="n">
        <v>0</v>
      </c>
    </row>
    <row r="43">
      <c r="A43" s="43" t="inlineStr">
        <is>
          <t>Income from financial assets — REGULAR (interest etc.)</t>
        </is>
      </c>
      <c r="B43" s="44">
        <f>MAX($D$40-$G$40-$B$42,0)</f>
        <v/>
      </c>
    </row>
    <row r="44">
      <c r="A44" s="43" t="inlineStr">
        <is>
          <t>Income from financial assets — DIVIDEND (special rate)</t>
        </is>
      </c>
      <c r="B44" s="44">
        <f>$E$40</f>
        <v/>
      </c>
    </row>
    <row r="45">
      <c r="A45" s="19" t="inlineStr">
        <is>
          <t>Exempt financial-asset income (not in total income)</t>
        </is>
      </c>
      <c r="B45" s="37">
        <f>$F$40</f>
        <v/>
      </c>
    </row>
    <row r="47" ht="20" customHeight="1">
      <c r="A47" s="23" t="inlineStr">
        <is>
          <t xml:space="preserve">  D   TAX-TREATMENT TABLE</t>
        </is>
      </c>
      <c r="B47" s="23" t="n"/>
      <c r="C47" s="23" t="n"/>
      <c r="D47" s="23" t="n"/>
      <c r="E47" s="23" t="n"/>
      <c r="F47" s="23" t="n"/>
      <c r="G47" s="23" t="n"/>
      <c r="H47" s="23" t="n"/>
      <c r="I47" s="23" t="n"/>
      <c r="J47" s="23" t="n"/>
      <c r="K47" s="23" t="n"/>
      <c r="L47" s="23" t="n"/>
    </row>
    <row r="48" ht="28" customHeight="1">
      <c r="A48" s="47" t="inlineStr">
        <is>
          <t>Income item</t>
        </is>
      </c>
      <c r="B48" s="47" t="inlineStr">
        <is>
          <t>Gross amount</t>
        </is>
      </c>
      <c r="C48" s="47" t="inlineStr">
        <is>
          <t>Taxable amount</t>
        </is>
      </c>
      <c r="D48" s="47" t="inlineStr">
        <is>
          <t>Exempt amount</t>
        </is>
      </c>
      <c r="E48" s="47" t="inlineStr">
        <is>
          <t>Deduction / adjustment</t>
        </is>
      </c>
      <c r="F48" s="47" t="inlineStr">
        <is>
          <t>Net taxable amount</t>
        </is>
      </c>
      <c r="G48" s="47" t="inlineStr">
        <is>
          <t>Relevant provision</t>
        </is>
      </c>
      <c r="H48" s="47" t="inlineStr">
        <is>
          <t>Explanation</t>
        </is>
      </c>
      <c r="I48" s="47" t="inlineStr"/>
      <c r="J48" s="47" t="inlineStr"/>
      <c r="K48" s="47" t="inlineStr"/>
      <c r="L48" s="47" t="inlineStr"/>
    </row>
    <row r="49">
      <c r="A49" s="34" t="inlineStr">
        <is>
          <t>Interest / profit / discount</t>
        </is>
      </c>
      <c r="B49" s="37">
        <f>$D$40</f>
        <v/>
      </c>
      <c r="C49" s="37">
        <f>$B$43</f>
        <v/>
      </c>
      <c r="D49" s="37" t="n">
        <v>0</v>
      </c>
      <c r="E49" s="37">
        <f>$G$40+$B$42</f>
        <v/>
      </c>
      <c r="F49" s="37">
        <f>$B$43</f>
        <v/>
      </c>
      <c r="G49" t="inlineStr">
        <is>
          <t>s.62, s.64</t>
        </is>
      </c>
      <c r="H49" t="inlineStr">
        <is>
          <t>Regular slab on Home sheet</t>
        </is>
      </c>
    </row>
    <row r="50">
      <c r="A50" s="34" t="inlineStr">
        <is>
          <t>Dividend</t>
        </is>
      </c>
      <c r="B50" s="37">
        <f>$E$40</f>
        <v/>
      </c>
      <c r="C50" s="37">
        <f>$B$44</f>
        <v/>
      </c>
      <c r="D50" s="37" t="n">
        <v>0</v>
      </c>
      <c r="E50" s="37" t="n">
        <v>0</v>
      </c>
      <c r="F50" s="37">
        <f>$B$44</f>
        <v/>
      </c>
      <c r="G50" t="inlineStr">
        <is>
          <t>Seventh Schedule</t>
        </is>
      </c>
      <c r="H50" t="inlineStr">
        <is>
          <t>Special rate — not slab</t>
        </is>
      </c>
    </row>
    <row r="52" ht="20" customHeight="1">
      <c r="A52" s="23" t="inlineStr">
        <is>
          <t xml:space="preserve">  E   WORKED EXAMPLE  —  Mr. Md. Karim Rahman</t>
        </is>
      </c>
      <c r="B52" s="23" t="n"/>
      <c r="C52" s="23" t="n"/>
      <c r="D52" s="23" t="n"/>
      <c r="E52" s="23" t="n"/>
      <c r="F52" s="23" t="n"/>
      <c r="G52" s="23" t="n"/>
      <c r="H52" s="23" t="n"/>
      <c r="I52" s="23" t="n"/>
      <c r="J52" s="23" t="n"/>
      <c r="K52" s="23" t="n"/>
      <c r="L52" s="23" t="n"/>
    </row>
    <row r="53" ht="28" customHeight="1">
      <c r="A53" s="32" t="inlineStr">
        <is>
          <t>STEP 1 — FACTS. FDR interest 180,000 (TDS 18,000); savings interest 12,000; T-bond interest 40,000; corporate-debenture interest 25,000; listed-company cash dividend 80,000 (TDS 12,000).</t>
        </is>
      </c>
      <c r="B53" s="33" t="n"/>
      <c r="C53" s="33" t="n"/>
      <c r="D53" s="33" t="n"/>
      <c r="E53" s="33" t="n"/>
      <c r="F53" s="33" t="n"/>
      <c r="G53" s="33" t="n"/>
      <c r="H53" s="33" t="n"/>
      <c r="I53" s="33" t="n"/>
      <c r="J53" s="33" t="n"/>
      <c r="K53" s="33" t="n"/>
      <c r="L53" s="33" t="n"/>
    </row>
    <row r="54" ht="28" customHeight="1">
      <c r="A54" s="48" t="inlineStr">
        <is>
          <t>STEP 2–4. Interest 257,000 is regular-rate financial-asset income. Dividend 80,000 is special-rate income. TDS 30,000 is not deducted from income. TAXABLE FINANCIAL-ASSET INCOME = 257,000 (regular) + 80,000 (dividend).</t>
        </is>
      </c>
      <c r="B54" s="49" t="n"/>
      <c r="C54" s="49" t="n"/>
      <c r="D54" s="49" t="n"/>
      <c r="E54" s="49" t="n"/>
      <c r="F54" s="49" t="n"/>
      <c r="G54" s="49" t="n"/>
      <c r="H54" s="49" t="n"/>
      <c r="I54" s="49" t="n"/>
      <c r="J54" s="49" t="n"/>
      <c r="K54" s="49" t="n"/>
      <c r="L54" s="49" t="n"/>
    </row>
    <row r="55">
      <c r="A55" s="19" t="inlineStr">
        <is>
          <t>Regular (live)</t>
        </is>
      </c>
      <c r="B55" s="37">
        <f>$B$43</f>
        <v/>
      </c>
      <c r="C55" s="19" t="inlineStr">
        <is>
          <t>Dividend (live)</t>
        </is>
      </c>
      <c r="D55" s="37">
        <f>$B$44</f>
        <v/>
      </c>
    </row>
    <row r="57" ht="32" customHeight="1">
      <c r="A57" s="52" t="inlineStr">
        <is>
          <t>STEP 5 — WHY. ITA 2023 moved 'interest on securities' into this broader head. Dividend stays in this head but is taxed at the special rate, so the Home sheet keeps it out of the slab. A student who nets TDS and shows FDR income of 162,000 loses presentation and technical marks.</t>
        </is>
      </c>
      <c r="B57" s="53" t="n"/>
      <c r="C57" s="53" t="n"/>
      <c r="D57" s="53" t="n"/>
      <c r="E57" s="53" t="n"/>
      <c r="F57" s="53" t="n"/>
      <c r="G57" s="53" t="n"/>
      <c r="H57" s="53" t="n"/>
      <c r="I57" s="53" t="n"/>
      <c r="J57" s="53" t="n"/>
      <c r="K57" s="53" t="n"/>
      <c r="L57" s="53" t="n"/>
    </row>
    <row r="59" ht="20" customHeight="1">
      <c r="A59" s="23" t="inlineStr">
        <is>
          <t xml:space="preserve">  F   ICAB EXAM TIPS</t>
        </is>
      </c>
      <c r="B59" s="23" t="n"/>
      <c r="C59" s="23" t="n"/>
      <c r="D59" s="23" t="n"/>
      <c r="E59" s="23" t="n"/>
      <c r="F59" s="23" t="n"/>
      <c r="G59" s="23" t="n"/>
      <c r="H59" s="23" t="n"/>
      <c r="I59" s="23" t="n"/>
      <c r="J59" s="23" t="n"/>
      <c r="K59" s="23" t="n"/>
      <c r="L59" s="23" t="n"/>
    </row>
    <row r="60" ht="26" customHeight="1">
      <c r="A60" s="52" t="inlineStr">
        <is>
          <t>1.  Head-identification trap: sale of listed shares is Capital Gain, not financial assets.</t>
        </is>
      </c>
      <c r="B60" s="53" t="n"/>
      <c r="C60" s="53" t="n"/>
      <c r="D60" s="53" t="n"/>
      <c r="E60" s="53" t="n"/>
      <c r="F60" s="53" t="n"/>
      <c r="G60" s="53" t="n"/>
      <c r="H60" s="53" t="n"/>
      <c r="I60" s="53" t="n"/>
      <c r="J60" s="53" t="n"/>
      <c r="K60" s="53" t="n"/>
      <c r="L60" s="53" t="n"/>
    </row>
    <row r="61" ht="26" customHeight="1">
      <c r="A61" s="54" t="inlineStr">
        <is>
          <t>2.  Always show Gross interest and Gross dividend, then a separate TDS memo.</t>
        </is>
      </c>
      <c r="B61" s="55" t="n"/>
      <c r="C61" s="55" t="n"/>
      <c r="D61" s="55" t="n"/>
      <c r="E61" s="55" t="n"/>
      <c r="F61" s="55" t="n"/>
      <c r="G61" s="55" t="n"/>
      <c r="H61" s="55" t="n"/>
      <c r="I61" s="55" t="n"/>
      <c r="J61" s="55" t="n"/>
      <c r="K61" s="55" t="n"/>
      <c r="L61" s="55" t="n"/>
    </row>
    <row r="62" ht="26" customHeight="1">
      <c r="A62" s="52" t="inlineStr">
        <is>
          <t>3.  If the question says 'interest on tax-free government securities', only then treat as exempt — quote the instrument.</t>
        </is>
      </c>
      <c r="B62" s="53" t="n"/>
      <c r="C62" s="53" t="n"/>
      <c r="D62" s="53" t="n"/>
      <c r="E62" s="53" t="n"/>
      <c r="F62" s="53" t="n"/>
      <c r="G62" s="53" t="n"/>
      <c r="H62" s="53" t="n"/>
      <c r="I62" s="53" t="n"/>
      <c r="J62" s="53" t="n"/>
      <c r="K62" s="53" t="n"/>
      <c r="L62" s="53" t="n"/>
    </row>
    <row r="63" ht="26" customHeight="1">
      <c r="A63" s="54" t="inlineStr">
        <is>
          <t>4.  Collection charges are the only routine deduction. Do not invent a 20% standard deduction (that is Indian law on family pension, not BD).</t>
        </is>
      </c>
      <c r="B63" s="55" t="n"/>
      <c r="C63" s="55" t="n"/>
      <c r="D63" s="55" t="n"/>
      <c r="E63" s="55" t="n"/>
      <c r="F63" s="55" t="n"/>
      <c r="G63" s="55" t="n"/>
      <c r="H63" s="55" t="n"/>
      <c r="I63" s="55" t="n"/>
      <c r="J63" s="55" t="n"/>
      <c r="K63" s="55" t="n"/>
      <c r="L63" s="55" t="n"/>
    </row>
    <row r="64" ht="26" customHeight="1">
      <c r="A64" s="52" t="inlineStr">
        <is>
          <t>5.  Bond-washing: selling cum-interest just before the coupon to convert interest into CG is a classic theory note.</t>
        </is>
      </c>
      <c r="B64" s="53" t="n"/>
      <c r="C64" s="53" t="n"/>
      <c r="D64" s="53" t="n"/>
      <c r="E64" s="53" t="n"/>
      <c r="F64" s="53" t="n"/>
      <c r="G64" s="53" t="n"/>
      <c r="H64" s="53" t="n"/>
      <c r="I64" s="53" t="n"/>
      <c r="J64" s="53" t="n"/>
      <c r="K64" s="53" t="n"/>
      <c r="L64" s="53" t="n"/>
    </row>
    <row r="65" ht="26" customHeight="1">
      <c r="A65" s="54" t="inlineStr">
        <is>
          <t>6.  Dividend of a non-resident individual is often 25% WHT — still this head.</t>
        </is>
      </c>
      <c r="B65" s="55" t="n"/>
      <c r="C65" s="55" t="n"/>
      <c r="D65" s="55" t="n"/>
      <c r="E65" s="55" t="n"/>
      <c r="F65" s="55" t="n"/>
      <c r="G65" s="55" t="n"/>
      <c r="H65" s="55" t="n"/>
      <c r="I65" s="55" t="n"/>
      <c r="J65" s="55" t="n"/>
      <c r="K65" s="55" t="n"/>
      <c r="L65" s="55" t="n"/>
    </row>
    <row r="66" ht="26" customHeight="1">
      <c r="A66" s="52" t="inlineStr">
        <is>
          <t>7.  Islamic 'profit' on a deposit is this head, not business (unless the assessee is the bank).</t>
        </is>
      </c>
      <c r="B66" s="53" t="n"/>
      <c r="C66" s="53" t="n"/>
      <c r="D66" s="53" t="n"/>
      <c r="E66" s="53" t="n"/>
      <c r="F66" s="53" t="n"/>
      <c r="G66" s="53" t="n"/>
      <c r="H66" s="53" t="n"/>
      <c r="I66" s="53" t="n"/>
      <c r="J66" s="53" t="n"/>
      <c r="K66" s="53" t="n"/>
      <c r="L66" s="53" t="n"/>
    </row>
    <row r="67" ht="26" customHeight="1">
      <c r="A67" s="54" t="inlineStr">
        <is>
          <t>8.  If FDR interest has already been credited in the business P&amp;L, remove it from business (less: income considered separately) and tax it here.</t>
        </is>
      </c>
      <c r="B67" s="55" t="n"/>
      <c r="C67" s="55" t="n"/>
      <c r="D67" s="55" t="n"/>
      <c r="E67" s="55" t="n"/>
      <c r="F67" s="55" t="n"/>
      <c r="G67" s="55" t="n"/>
      <c r="H67" s="55" t="n"/>
      <c r="I67" s="55" t="n"/>
      <c r="J67" s="55" t="n"/>
      <c r="K67" s="55" t="n"/>
      <c r="L67" s="55" t="n"/>
    </row>
    <row r="69" ht="20" customHeight="1">
      <c r="A69" s="23" t="inlineStr">
        <is>
          <t xml:space="preserve">  G   ASSUMPTIONS / NOTES</t>
        </is>
      </c>
      <c r="B69" s="23" t="n"/>
      <c r="C69" s="23" t="n"/>
      <c r="D69" s="23" t="n"/>
      <c r="E69" s="23" t="n"/>
      <c r="F69" s="23" t="n"/>
      <c r="G69" s="23" t="n"/>
      <c r="H69" s="23" t="n"/>
      <c r="I69" s="23" t="n"/>
      <c r="J69" s="23" t="n"/>
      <c r="K69" s="23" t="n"/>
      <c r="L69" s="23" t="n"/>
    </row>
    <row r="70" ht="32" customHeight="1">
      <c r="A70" s="56" t="inlineStr">
        <is>
          <t>1.  Default special dividend rate is P_DivRate on the Home sheet (15%).</t>
        </is>
      </c>
      <c r="B70" s="57" t="n"/>
      <c r="C70" s="57" t="n"/>
      <c r="D70" s="57" t="n"/>
      <c r="E70" s="57" t="n"/>
      <c r="F70" s="57" t="n"/>
      <c r="G70" s="57" t="n"/>
      <c r="H70" s="57" t="n"/>
      <c r="I70" s="57" t="n"/>
      <c r="J70" s="57" t="n"/>
      <c r="K70" s="57" t="n"/>
      <c r="L70" s="57" t="n"/>
    </row>
    <row r="71" ht="32" customHeight="1">
      <c r="A71" s="56" t="inlineStr">
        <is>
          <t>2.  No general exemption for bank interest is assumed.</t>
        </is>
      </c>
      <c r="B71" s="57" t="n"/>
      <c r="C71" s="57" t="n"/>
      <c r="D71" s="57" t="n"/>
      <c r="E71" s="57" t="n"/>
      <c r="F71" s="57" t="n"/>
      <c r="G71" s="57" t="n"/>
      <c r="H71" s="57" t="n"/>
      <c r="I71" s="57" t="n"/>
      <c r="J71" s="57" t="n"/>
      <c r="K71" s="57" t="n"/>
      <c r="L71" s="57" t="n"/>
    </row>
    <row r="72" ht="32" customHeight="1">
      <c r="A72" s="56" t="inlineStr">
        <is>
          <t>3.  s.64/s.65 detailed disallowance list should be checked in your reprint if the question involves unpaid TDS on a collection fee.</t>
        </is>
      </c>
      <c r="B72" s="57" t="n"/>
      <c r="C72" s="57" t="n"/>
      <c r="D72" s="57" t="n"/>
      <c r="E72" s="57" t="n"/>
      <c r="F72" s="57" t="n"/>
      <c r="G72" s="57" t="n"/>
      <c r="H72" s="57" t="n"/>
      <c r="I72" s="57" t="n"/>
      <c r="J72" s="57" t="n"/>
      <c r="K72" s="57" t="n"/>
      <c r="L72" s="57" t="n"/>
    </row>
    <row r="74" ht="20" customHeight="1">
      <c r="A74" s="23" t="inlineStr">
        <is>
          <t xml:space="preserve">  H   LEGAL REFERENCES</t>
        </is>
      </c>
      <c r="B74" s="23" t="n"/>
      <c r="C74" s="23" t="n"/>
      <c r="D74" s="23" t="n"/>
      <c r="E74" s="23" t="n"/>
      <c r="F74" s="23" t="n"/>
      <c r="G74" s="23" t="n"/>
      <c r="H74" s="23" t="n"/>
      <c r="I74" s="23" t="n"/>
      <c r="J74" s="23" t="n"/>
      <c r="K74" s="23" t="n"/>
      <c r="L74" s="23" t="n"/>
    </row>
    <row r="75" ht="16" customHeight="1">
      <c r="A75" s="58" t="inlineStr">
        <is>
          <t>•  ITA 2023 ss.62–65 (Chapter VII).</t>
        </is>
      </c>
    </row>
    <row r="76" ht="16" customHeight="1">
      <c r="A76" s="58" t="inlineStr">
        <is>
          <t>•  Seventh Schedule / Part 7 — rate on dividend. VERIFY.</t>
        </is>
      </c>
    </row>
    <row r="77" ht="16" customHeight="1">
      <c r="A77" s="58" t="inlineStr">
        <is>
          <t>•  s.27 — dividend paid by a Bangladeshi company is deemed to arise in Bangladesh.</t>
        </is>
      </c>
    </row>
    <row r="78" ht="16" customHeight="1">
      <c r="A78" s="58" t="inlineStr">
        <is>
          <t>•  s.150 — credit of tax deducted at source.</t>
        </is>
      </c>
    </row>
  </sheetData>
  <mergeCells count="46">
    <mergeCell ref="D21:L21"/>
    <mergeCell ref="A78:L78"/>
    <mergeCell ref="A16:L16"/>
    <mergeCell ref="A54:L54"/>
    <mergeCell ref="G6:I6"/>
    <mergeCell ref="A75:L75"/>
    <mergeCell ref="A66:L66"/>
    <mergeCell ref="A74:L74"/>
    <mergeCell ref="A12:L12"/>
    <mergeCell ref="A57:L57"/>
    <mergeCell ref="A2:L2"/>
    <mergeCell ref="A76:L76"/>
    <mergeCell ref="A71:L71"/>
    <mergeCell ref="A47:L47"/>
    <mergeCell ref="A8:L8"/>
    <mergeCell ref="A14:L14"/>
    <mergeCell ref="D18:L18"/>
    <mergeCell ref="D25:L25"/>
    <mergeCell ref="A53:L53"/>
    <mergeCell ref="A62:L62"/>
    <mergeCell ref="D24:L24"/>
    <mergeCell ref="A72:L72"/>
    <mergeCell ref="A29:L29"/>
    <mergeCell ref="A10:L10"/>
    <mergeCell ref="A52:L52"/>
    <mergeCell ref="D23:L23"/>
    <mergeCell ref="A63:L63"/>
    <mergeCell ref="A28:L28"/>
    <mergeCell ref="A13:L13"/>
    <mergeCell ref="D26:L26"/>
    <mergeCell ref="A9:L9"/>
    <mergeCell ref="A67:L67"/>
    <mergeCell ref="D20:L20"/>
    <mergeCell ref="A77:L77"/>
    <mergeCell ref="C6:E6"/>
    <mergeCell ref="A59:L59"/>
    <mergeCell ref="D19:L19"/>
    <mergeCell ref="A64:L64"/>
    <mergeCell ref="A60:L60"/>
    <mergeCell ref="A11:L11"/>
    <mergeCell ref="A1:L1"/>
    <mergeCell ref="D22:L22"/>
    <mergeCell ref="A61:L61"/>
    <mergeCell ref="A70:L70"/>
    <mergeCell ref="A69:L69"/>
    <mergeCell ref="A65:L65"/>
  </mergeCells>
  <dataValidations count="1">
    <dataValidation sqref="C31:C39" showDropDown="0" showInputMessage="0" showErrorMessage="0" allowBlank="1" errorTitle="Invalid entry" error="Select a value from the list" promptTitle="Input" prompt="Select from the list" type="list">
      <formula1>"Regular,Dividend,Exempt"</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Financial Assets</oddHeader>
    <oddFooter>&amp;L&amp;8Bangladesh Income Tax Act, 2023  |  For study / exam practice — verify Finance Act of the exam year&amp;R&amp;8Page &amp;P of &amp;N</oddFooter>
    <evenHeader/>
    <evenFooter/>
    <firstHeader/>
    <firstFooter/>
  </headerFooter>
</worksheet>
</file>

<file path=xl/worksheets/sheet3.xml><?xml version="1.0" encoding="utf-8"?>
<worksheet xmlns="http://schemas.openxmlformats.org/spreadsheetml/2006/main">
  <sheetPr>
    <tabColor rgb="004A6FA5"/>
    <outlinePr summaryBelow="1" summaryRight="1"/>
    <pageSetUpPr fitToPage="1"/>
  </sheetPr>
  <dimension ref="A1:L89"/>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RENT  ·  ALL AMOUNTS IN BDT (৳)</t>
        </is>
      </c>
      <c r="B1" s="2" t="n"/>
      <c r="C1" s="2" t="n"/>
      <c r="D1" s="2" t="n"/>
      <c r="E1" s="2" t="n"/>
      <c r="F1" s="2" t="n"/>
      <c r="G1" s="2" t="n"/>
      <c r="H1" s="2" t="n"/>
      <c r="I1" s="2" t="n"/>
      <c r="J1" s="2" t="n"/>
      <c r="K1" s="2" t="n"/>
      <c r="L1" s="2" t="n"/>
    </row>
    <row r="2" ht="16" customHeight="1">
      <c r="A2" s="3" t="inlineStr">
        <is>
          <t>ITA 2023  Chapter III  ss.35–39  |  Gross rental value s.37  |  Deductions s.38  |  Special income from rent s.39  |  Hotels/motels/resorts are business, not this head</t>
        </is>
      </c>
      <c r="B2" s="4" t="n"/>
      <c r="C2" s="4" t="n"/>
      <c r="D2" s="4" t="n"/>
      <c r="E2" s="4" t="n"/>
      <c r="F2" s="4" t="n"/>
      <c r="G2" s="4" t="n"/>
      <c r="H2" s="4" t="n"/>
      <c r="I2" s="4" t="n"/>
      <c r="J2" s="4" t="n"/>
      <c r="K2" s="4" t="n"/>
      <c r="L2" s="4" t="n"/>
    </row>
    <row r="3" ht="18" customHeight="1">
      <c r="A3" s="5" t="inlineStr">
        <is>
          <t>HOME / Summary</t>
        </is>
      </c>
      <c r="B3" s="5" t="inlineStr">
        <is>
          <t>Employment</t>
        </is>
      </c>
      <c r="C3" s="5" t="inlineStr">
        <is>
          <t>Financial Assets</t>
        </is>
      </c>
      <c r="D3" s="6" t="inlineStr">
        <is>
          <t>Rent</t>
        </is>
      </c>
      <c r="E3" s="5" t="inlineStr">
        <is>
          <t>Agriculture</t>
        </is>
      </c>
      <c r="F3" s="5"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30" customHeight="1">
      <c r="A9" s="24" t="inlineStr">
        <is>
          <t>•  Definition: Income from rent is the amount remaining after allowable expenses (this Chapter) from the gross rental value of a property (s.36(1)). Property includes house property, land, furniture, fixtures, factory buildings, business premises, machinery, personal vehicles and other rentable physical capital assets (s.35).</t>
        </is>
      </c>
      <c r="B9" s="25" t="n"/>
      <c r="C9" s="25" t="n"/>
      <c r="D9" s="25" t="n"/>
      <c r="E9" s="25" t="n"/>
      <c r="F9" s="25" t="n"/>
      <c r="G9" s="25" t="n"/>
      <c r="H9" s="25" t="n"/>
      <c r="I9" s="25" t="n"/>
      <c r="J9" s="25" t="n"/>
      <c r="K9" s="25" t="n"/>
      <c r="L9" s="25" t="n"/>
    </row>
    <row r="10" ht="30" customHeight="1">
      <c r="A10" s="24" t="inlineStr">
        <is>
          <t>•  House property used in the owner's own business is not computed here (s.36(2)). Hostel, hotel, motel or resort rent is business income, not this head (s.36(3)). Letting a shop or office is still this head even if the owner is 'in the business of letting', except those lodging cases.</t>
        </is>
      </c>
      <c r="B10" s="25" t="n"/>
      <c r="C10" s="25" t="n"/>
      <c r="D10" s="25" t="n"/>
      <c r="E10" s="25" t="n"/>
      <c r="F10" s="25" t="n"/>
      <c r="G10" s="25" t="n"/>
      <c r="H10" s="25" t="n"/>
      <c r="I10" s="25" t="n"/>
      <c r="J10" s="25" t="n"/>
      <c r="K10" s="25" t="n"/>
      <c r="L10" s="25" t="n"/>
    </row>
    <row r="11" ht="30" customHeight="1">
      <c r="A11" s="24" t="inlineStr">
        <is>
          <t>•  Gross rental value of house property (s.37): A = (B + C + D + E) − F, where B = higher of rent accrued and annual value; C = adjustable advance relating to the year; D/E = other benefits / service charges etc.; F = vacancy allowance supported by electricity bill. Unadjustable security deposit is not income.</t>
        </is>
      </c>
      <c r="B11" s="25" t="n"/>
      <c r="C11" s="25" t="n"/>
      <c r="D11" s="25" t="n"/>
      <c r="E11" s="25" t="n"/>
      <c r="F11" s="25" t="n"/>
      <c r="G11" s="25" t="n"/>
      <c r="H11" s="25" t="n"/>
      <c r="I11" s="25" t="n"/>
      <c r="J11" s="25" t="n"/>
      <c r="K11" s="25" t="n"/>
      <c r="L11" s="25" t="n"/>
    </row>
    <row r="12" ht="30" customHeight="1">
      <c r="A12" s="24" t="inlineStr">
        <is>
          <t>•  Deductions for house property (s.38(1)): insurance; interest/profit on bank/NBFI loan for acquisition/construction/renovation (not post-period pre-rental interest after that period); municipal/local tax/annual charge (not capital); statutory collection/repair/utilities — 30% if commercial, 25% if non-commercial — of total rental value. Partial letting / part-year letting is proportional.</t>
        </is>
      </c>
      <c r="B12" s="25" t="n"/>
      <c r="C12" s="25" t="n"/>
      <c r="D12" s="25" t="n"/>
      <c r="E12" s="25" t="n"/>
      <c r="F12" s="25" t="n"/>
      <c r="G12" s="25" t="n"/>
      <c r="H12" s="25" t="n"/>
      <c r="I12" s="25" t="n"/>
      <c r="J12" s="25" t="n"/>
      <c r="K12" s="25" t="n"/>
      <c r="L12" s="25" t="n"/>
    </row>
    <row r="13" ht="30" customHeight="1">
      <c r="A13" s="24" t="inlineStr">
        <is>
          <t>•  You cannot claim actual repair instead of the statutory percentage. If the tenant pays a service charge that already covers those services, a restriction may apply — VERIFY / flag in the answer.</t>
        </is>
      </c>
      <c r="B13" s="25" t="n"/>
      <c r="C13" s="25" t="n"/>
      <c r="D13" s="25" t="n"/>
      <c r="E13" s="25" t="n"/>
      <c r="F13" s="25" t="n"/>
      <c r="G13" s="25" t="n"/>
      <c r="H13" s="25" t="n"/>
      <c r="I13" s="25" t="n"/>
      <c r="J13" s="25" t="n"/>
      <c r="K13" s="25" t="n"/>
      <c r="L13" s="25" t="n"/>
    </row>
    <row r="14" ht="30" customHeight="1">
      <c r="A14" s="24" t="inlineStr">
        <is>
          <t>•  s.39 special income from rent: unspent statutory deduction claimed, and certain disallowed expenses on non-house property, are special income — regular rate, no set-off, no 3rd Schedule. Interpretation of 'unspent' is flagged VERIFY. This sheet has a Yes/No toggle (default No) so you can apply it if the examiner clearly wants it.</t>
        </is>
      </c>
      <c r="B14" s="25" t="n"/>
      <c r="C14" s="25" t="n"/>
      <c r="D14" s="25" t="n"/>
      <c r="E14" s="25" t="n"/>
      <c r="F14" s="25" t="n"/>
      <c r="G14" s="25" t="n"/>
      <c r="H14" s="25" t="n"/>
      <c r="I14" s="25" t="n"/>
      <c r="J14" s="25" t="n"/>
      <c r="K14" s="25" t="n"/>
      <c r="L14" s="25" t="n"/>
    </row>
    <row r="15" ht="30" customHeight="1">
      <c r="A15" s="24" t="inlineStr">
        <is>
          <t>•  ICAB points: start from higher of actual rent and annual value; vacancy needs evidence; statutory % is on gross rental value after vacancy; interest is extra, not inside the 25%/30%; TDS on rent is a credit.</t>
        </is>
      </c>
      <c r="B15" s="25" t="n"/>
      <c r="C15" s="25" t="n"/>
      <c r="D15" s="25" t="n"/>
      <c r="E15" s="25" t="n"/>
      <c r="F15" s="25" t="n"/>
      <c r="G15" s="25" t="n"/>
      <c r="H15" s="25" t="n"/>
      <c r="I15" s="25" t="n"/>
      <c r="J15" s="25" t="n"/>
      <c r="K15" s="25" t="n"/>
      <c r="L15" s="25" t="n"/>
    </row>
    <row r="17" ht="20" customHeight="1">
      <c r="A17" s="23" t="inlineStr">
        <is>
          <t xml:space="preserve">  B   TYPES OF INCOME  —  TAX TREATMENT</t>
        </is>
      </c>
      <c r="B17" s="23" t="n"/>
      <c r="C17" s="23" t="n"/>
      <c r="D17" s="23" t="n"/>
      <c r="E17" s="23" t="n"/>
      <c r="F17" s="23" t="n"/>
      <c r="G17" s="23" t="n"/>
      <c r="H17" s="23" t="n"/>
      <c r="I17" s="23" t="n"/>
      <c r="J17" s="23" t="n"/>
      <c r="K17" s="23" t="n"/>
      <c r="L17" s="23" t="n"/>
    </row>
    <row r="18" ht="28" customHeight="1">
      <c r="A18" s="26" t="inlineStr">
        <is>
          <t>Particular</t>
        </is>
      </c>
      <c r="B18" s="26" t="inlineStr">
        <is>
          <t>Tax treatment</t>
        </is>
      </c>
      <c r="C18" s="26" t="inlineStr">
        <is>
          <t>Relevant provision</t>
        </is>
      </c>
      <c r="D18" s="26" t="inlineStr">
        <is>
          <t>Example / exam note</t>
        </is>
      </c>
      <c r="E18" s="26" t="inlineStr"/>
      <c r="F18" s="26" t="inlineStr"/>
      <c r="G18" s="26" t="inlineStr"/>
      <c r="H18" s="26" t="inlineStr"/>
      <c r="I18" s="26" t="inlineStr"/>
      <c r="J18" s="26" t="inlineStr"/>
      <c r="K18" s="26" t="inlineStr"/>
      <c r="L18" s="26" t="inlineStr"/>
    </row>
    <row r="19" ht="18" customHeight="1">
      <c r="A19" s="27" t="inlineStr">
        <is>
          <t>Rent of residential house / flat</t>
        </is>
      </c>
      <c r="B19" s="27" t="inlineStr">
        <is>
          <t>This head; 25% statutory deduction</t>
        </is>
      </c>
      <c r="C19" s="27" t="inlineStr">
        <is>
          <t>s.36, s.38(1)(e)</t>
        </is>
      </c>
      <c r="D19" s="27" t="inlineStr">
        <is>
          <t>Non-commercial.</t>
        </is>
      </c>
      <c r="E19" s="27" t="n"/>
      <c r="F19" s="27" t="n"/>
      <c r="G19" s="27" t="n"/>
      <c r="H19" s="27" t="n"/>
      <c r="I19" s="27" t="n"/>
      <c r="J19" s="27" t="n"/>
      <c r="K19" s="27" t="n"/>
      <c r="L19" s="27" t="n"/>
    </row>
    <row r="20" ht="18" customHeight="1">
      <c r="A20" s="29" t="inlineStr">
        <is>
          <t>Rent of shop / office / commercial floor</t>
        </is>
      </c>
      <c r="B20" s="29" t="inlineStr">
        <is>
          <t>This head; 30% statutory deduction</t>
        </is>
      </c>
      <c r="C20" s="29" t="inlineStr">
        <is>
          <t>s.38(1)(e)</t>
        </is>
      </c>
      <c r="D20" s="29" t="inlineStr">
        <is>
          <t>Commercial.</t>
        </is>
      </c>
      <c r="E20" s="29" t="n"/>
      <c r="F20" s="29" t="n"/>
      <c r="G20" s="29" t="n"/>
      <c r="H20" s="29" t="n"/>
      <c r="I20" s="29" t="n"/>
      <c r="J20" s="29" t="n"/>
      <c r="K20" s="29" t="n"/>
      <c r="L20" s="29" t="n"/>
    </row>
    <row r="21" ht="18" customHeight="1">
      <c r="A21" s="27" t="inlineStr">
        <is>
          <t>Rent of land / machinery / furniture (not house)</t>
        </is>
      </c>
      <c r="B21" s="27" t="inlineStr">
        <is>
          <t>This head; business-style deductions</t>
        </is>
      </c>
      <c r="C21" s="27" t="inlineStr">
        <is>
          <t>s.38(2)</t>
        </is>
      </c>
      <c r="D21" s="27" t="inlineStr">
        <is>
          <t>ss.49–55 limits; bank transfer.</t>
        </is>
      </c>
      <c r="E21" s="27" t="n"/>
      <c r="F21" s="27" t="n"/>
      <c r="G21" s="27" t="n"/>
      <c r="H21" s="27" t="n"/>
      <c r="I21" s="27" t="n"/>
      <c r="J21" s="27" t="n"/>
      <c r="K21" s="27" t="n"/>
      <c r="L21" s="27" t="n"/>
    </row>
    <row r="22" ht="18" customHeight="1">
      <c r="A22" s="29" t="inlineStr">
        <is>
          <t>Hotel / motel / resort / hostel</t>
        </is>
      </c>
      <c r="B22" s="29" t="inlineStr">
        <is>
          <t>NOT this head — business</t>
        </is>
      </c>
      <c r="C22" s="29" t="inlineStr">
        <is>
          <t>s.36(3)</t>
        </is>
      </c>
      <c r="D22" s="29" t="inlineStr">
        <is>
          <t>Common classification trap.</t>
        </is>
      </c>
      <c r="E22" s="29" t="n"/>
      <c r="F22" s="29" t="n"/>
      <c r="G22" s="29" t="n"/>
      <c r="H22" s="29" t="n"/>
      <c r="I22" s="29" t="n"/>
      <c r="J22" s="29" t="n"/>
      <c r="K22" s="29" t="n"/>
      <c r="L22" s="29" t="n"/>
    </row>
    <row r="23" ht="18" customHeight="1">
      <c r="A23" s="27" t="inlineStr">
        <is>
          <t>Portion used in owner's own business</t>
        </is>
      </c>
      <c r="B23" s="27" t="inlineStr">
        <is>
          <t>NOT this head</t>
        </is>
      </c>
      <c r="C23" s="27" t="inlineStr">
        <is>
          <t>s.36(2)</t>
        </is>
      </c>
      <c r="D23" s="27" t="inlineStr">
        <is>
          <t>That portion is business.</t>
        </is>
      </c>
      <c r="E23" s="27" t="n"/>
      <c r="F23" s="27" t="n"/>
      <c r="G23" s="27" t="n"/>
      <c r="H23" s="27" t="n"/>
      <c r="I23" s="27" t="n"/>
      <c r="J23" s="27" t="n"/>
      <c r="K23" s="27" t="n"/>
      <c r="L23" s="27" t="n"/>
    </row>
    <row r="24" ht="18" customHeight="1">
      <c r="A24" s="29" t="inlineStr">
        <is>
          <t>Adjustable advance rent relating to the year</t>
        </is>
      </c>
      <c r="B24" s="29" t="inlineStr">
        <is>
          <t>Included in GRV</t>
        </is>
      </c>
      <c r="C24" s="29" t="inlineStr">
        <is>
          <t>s.37</t>
        </is>
      </c>
      <c r="D24" s="29" t="inlineStr">
        <is>
          <t>Unadjustable security deposit is not income.</t>
        </is>
      </c>
      <c r="E24" s="29" t="n"/>
      <c r="F24" s="29" t="n"/>
      <c r="G24" s="29" t="n"/>
      <c r="H24" s="29" t="n"/>
      <c r="I24" s="29" t="n"/>
      <c r="J24" s="29" t="n"/>
      <c r="K24" s="29" t="n"/>
      <c r="L24" s="29" t="n"/>
    </row>
    <row r="25" ht="18" customHeight="1">
      <c r="A25" s="27" t="inlineStr">
        <is>
          <t>Service charge / other benefit from tenant</t>
        </is>
      </c>
      <c r="B25" s="27" t="inlineStr">
        <is>
          <t>Included in GRV</t>
        </is>
      </c>
      <c r="C25" s="27" t="inlineStr">
        <is>
          <t>s.37</t>
        </is>
      </c>
      <c r="D25" s="27" t="inlineStr">
        <is>
          <t>May restrict the statutory repair claim — VERIFY.</t>
        </is>
      </c>
      <c r="E25" s="27" t="n"/>
      <c r="F25" s="27" t="n"/>
      <c r="G25" s="27" t="n"/>
      <c r="H25" s="27" t="n"/>
      <c r="I25" s="27" t="n"/>
      <c r="J25" s="27" t="n"/>
      <c r="K25" s="27" t="n"/>
      <c r="L25" s="27" t="n"/>
    </row>
    <row r="26" ht="18" customHeight="1">
      <c r="A26" s="29" t="inlineStr">
        <is>
          <t>Vacancy</t>
        </is>
      </c>
      <c r="B26" s="29" t="inlineStr">
        <is>
          <t>Deducted if electricity bill produced</t>
        </is>
      </c>
      <c r="C26" s="29" t="inlineStr">
        <is>
          <t>s.37</t>
        </is>
      </c>
      <c r="D26" s="29" t="inlineStr">
        <is>
          <t>Personal occupation is not vacancy.</t>
        </is>
      </c>
      <c r="E26" s="29" t="n"/>
      <c r="F26" s="29" t="n"/>
      <c r="G26" s="29" t="n"/>
      <c r="H26" s="29" t="n"/>
      <c r="I26" s="29" t="n"/>
      <c r="J26" s="29" t="n"/>
      <c r="K26" s="29" t="n"/>
      <c r="L26" s="29" t="n"/>
    </row>
    <row r="27" ht="18" customHeight="1">
      <c r="A27" s="27" t="inlineStr">
        <is>
          <t>Municipal / local tax, insurance, loan interest</t>
        </is>
      </c>
      <c r="B27" s="27" t="inlineStr">
        <is>
          <t>Allowable (actual)</t>
        </is>
      </c>
      <c r="C27" s="27" t="inlineStr">
        <is>
          <t>s.38(1)(a)–(d)</t>
        </is>
      </c>
      <c r="D27" s="27" t="inlineStr">
        <is>
          <t>Interest is in addition to the 25%/30%.</t>
        </is>
      </c>
      <c r="E27" s="27" t="n"/>
      <c r="F27" s="27" t="n"/>
      <c r="G27" s="27" t="n"/>
      <c r="H27" s="27" t="n"/>
      <c r="I27" s="27" t="n"/>
      <c r="J27" s="27" t="n"/>
      <c r="K27" s="27" t="n"/>
      <c r="L27" s="27" t="n"/>
    </row>
    <row r="28" ht="18" customHeight="1">
      <c r="A28" s="29" t="inlineStr">
        <is>
          <t>Actual repair / collection / utility spend</t>
        </is>
      </c>
      <c r="B28" s="29" t="inlineStr">
        <is>
          <t>Absorbed in the 25%/30% — not extra</t>
        </is>
      </c>
      <c r="C28" s="29" t="inlineStr">
        <is>
          <t>s.38(1)(e)</t>
        </is>
      </c>
      <c r="D28" s="29" t="inlineStr">
        <is>
          <t>Claiming both is a common mistake.</t>
        </is>
      </c>
      <c r="E28" s="29" t="n"/>
      <c r="F28" s="29" t="n"/>
      <c r="G28" s="29" t="n"/>
      <c r="H28" s="29" t="n"/>
      <c r="I28" s="29" t="n"/>
      <c r="J28" s="29" t="n"/>
      <c r="K28" s="29" t="n"/>
      <c r="L28" s="29" t="n"/>
    </row>
    <row r="29" ht="18" customHeight="1">
      <c r="A29" s="27" t="inlineStr">
        <is>
          <t>s.39 unspent statutory deduction</t>
        </is>
      </c>
      <c r="B29" s="27" t="inlineStr">
        <is>
          <t>Special income from rent — VERIFY</t>
        </is>
      </c>
      <c r="C29" s="27" t="inlineStr">
        <is>
          <t>s.39</t>
        </is>
      </c>
      <c r="D29" s="27" t="inlineStr">
        <is>
          <t>Toggle below.</t>
        </is>
      </c>
      <c r="E29" s="27" t="n"/>
      <c r="F29" s="27" t="n"/>
      <c r="G29" s="27" t="n"/>
      <c r="H29" s="27" t="n"/>
      <c r="I29" s="27" t="n"/>
      <c r="J29" s="27" t="n"/>
      <c r="K29" s="27" t="n"/>
      <c r="L29" s="27" t="n"/>
    </row>
    <row r="31" ht="20" customHeight="1">
      <c r="A31" s="23" t="inlineStr">
        <is>
          <t xml:space="preserve">  C   COMPUTATION  —  HOUSE PROPERTY  (s.37–s.38)</t>
        </is>
      </c>
      <c r="B31" s="23" t="n"/>
      <c r="C31" s="23" t="n"/>
      <c r="D31" s="23" t="n"/>
      <c r="E31" s="23" t="n"/>
      <c r="F31" s="23" t="n"/>
      <c r="G31" s="23" t="n"/>
      <c r="H31" s="23" t="n"/>
      <c r="I31" s="23" t="n"/>
      <c r="J31" s="23" t="n"/>
      <c r="K31" s="23" t="n"/>
      <c r="L31" s="23" t="n"/>
    </row>
    <row r="32">
      <c r="A32" s="19" t="inlineStr">
        <is>
          <t>Description of property</t>
        </is>
      </c>
      <c r="B32" s="36" t="inlineStr">
        <is>
          <t>3-bed residential flat, Dhanmondi, Dhaka (let out)</t>
        </is>
      </c>
      <c r="C32" s="21" t="n"/>
      <c r="D32" s="21" t="n"/>
      <c r="E32" s="21" t="n"/>
      <c r="F32" s="22" t="n"/>
    </row>
    <row r="33">
      <c r="A33" s="19" t="inlineStr">
        <is>
          <t>Use</t>
        </is>
      </c>
      <c r="B33" s="36" t="inlineStr">
        <is>
          <t>Non-commercial</t>
        </is>
      </c>
    </row>
    <row r="34">
      <c r="A34" s="34" t="inlineStr">
        <is>
          <t>Statutory repair % (auto)</t>
        </is>
      </c>
      <c r="B34" s="60">
        <f>IF($B$33="Commercial",0.3,0.25)</f>
        <v/>
      </c>
    </row>
    <row r="35">
      <c r="A35" s="34" t="inlineStr">
        <is>
          <t>Actual rent accrued / received for the year</t>
        </is>
      </c>
      <c r="B35" s="35" t="n">
        <v>480000</v>
      </c>
    </row>
    <row r="36">
      <c r="A36" s="34" t="inlineStr">
        <is>
          <t>Annual value (reasonable letting value)</t>
        </is>
      </c>
      <c r="B36" s="35" t="n">
        <v>450000</v>
      </c>
    </row>
    <row r="37">
      <c r="A37" s="34" t="inlineStr">
        <is>
          <t>Adjustable advance relating to this year (C)</t>
        </is>
      </c>
      <c r="B37" s="35" t="n">
        <v>40000</v>
      </c>
    </row>
    <row r="38">
      <c r="A38" s="34" t="inlineStr">
        <is>
          <t>Service charge / other benefit from tenant (D/E)</t>
        </is>
      </c>
      <c r="B38" s="35" t="n">
        <v>24000</v>
      </c>
    </row>
    <row r="39">
      <c r="A39" s="34" t="inlineStr">
        <is>
          <t>Vacancy allowance (supported by electricity bill) (F)</t>
        </is>
      </c>
      <c r="B39" s="35" t="n">
        <v>80000</v>
      </c>
    </row>
    <row r="40">
      <c r="A40" s="19" t="inlineStr">
        <is>
          <t>B = higher of actual rent and annual value</t>
        </is>
      </c>
      <c r="B40" s="37">
        <f>MAX($B$35,$B$36)</f>
        <v/>
      </c>
    </row>
    <row r="41">
      <c r="A41" s="40" t="inlineStr">
        <is>
          <t>GROSS RENTAL VALUE  A = (B + C + D/E) − F</t>
        </is>
      </c>
      <c r="B41" s="41">
        <f>$B$40+$B$37+$B$38-$B$39</f>
        <v/>
      </c>
    </row>
    <row r="43" ht="16" customHeight="1">
      <c r="A43" s="42" t="inlineStr">
        <is>
          <t xml:space="preserve">  ALLOWABLE DEDUCTIONS  (s.38)</t>
        </is>
      </c>
      <c r="B43" s="42" t="n"/>
      <c r="C43" s="42" t="n"/>
      <c r="D43" s="42" t="n"/>
      <c r="E43" s="42" t="n"/>
      <c r="F43" s="42" t="n"/>
      <c r="G43" s="42" t="n"/>
      <c r="H43" s="42" t="n"/>
      <c r="I43" s="42" t="n"/>
      <c r="J43" s="42" t="n"/>
      <c r="K43" s="42" t="n"/>
      <c r="L43" s="42" t="n"/>
    </row>
    <row r="44">
      <c r="A44" s="34" t="inlineStr">
        <is>
          <t>Insurance premium against damage / destruction</t>
        </is>
      </c>
      <c r="B44" s="35" t="n">
        <v>8000</v>
      </c>
    </row>
    <row r="45">
      <c r="A45" s="34" t="inlineStr">
        <is>
          <t>Interest / profit on bank or NBFI housing loan (post-completion)</t>
        </is>
      </c>
      <c r="B45" s="35" t="n">
        <v>95000</v>
      </c>
    </row>
    <row r="46">
      <c r="A46" s="34" t="inlineStr">
        <is>
          <t>Municipal / local tax / annual charge (not capital)</t>
        </is>
      </c>
      <c r="B46" s="35" t="n">
        <v>18000</v>
      </c>
    </row>
    <row r="47">
      <c r="A47" s="34" t="inlineStr">
        <is>
          <t>Pre-rental interest still deductible this year (if any)</t>
        </is>
      </c>
      <c r="B47" s="35" t="n">
        <v>0</v>
      </c>
    </row>
    <row r="48">
      <c r="A48" s="34" t="inlineStr">
        <is>
          <t>Other allowable actual deduction (not repair)</t>
        </is>
      </c>
      <c r="B48" s="35" t="n">
        <v>0</v>
      </c>
    </row>
    <row r="49">
      <c r="A49" s="34" t="inlineStr">
        <is>
          <t>Actual repair / collection / utility spent (memo — not added again)</t>
        </is>
      </c>
      <c r="B49" s="35" t="n">
        <v>50000</v>
      </c>
    </row>
    <row r="50">
      <c r="A50" s="19" t="inlineStr">
        <is>
          <t>Statutory collection / repair / utility allowance</t>
        </is>
      </c>
      <c r="B50" s="37">
        <f>$B$41*$B$34</f>
        <v/>
      </c>
    </row>
    <row r="51">
      <c r="A51" s="19" t="inlineStr">
        <is>
          <t>Total allowable deductions</t>
        </is>
      </c>
      <c r="B51" s="37">
        <f>$B$44+$B$45+$B$46+$B$47+$B$48+$B$50</f>
        <v/>
      </c>
    </row>
    <row r="52">
      <c r="A52" s="45" t="inlineStr">
        <is>
          <t>INCOME FROM RENT (ordinary)</t>
        </is>
      </c>
      <c r="B52" s="46">
        <f>MAX($B$41-$B$51,0)</f>
        <v/>
      </c>
    </row>
    <row r="54" ht="16" customHeight="1">
      <c r="A54" s="42" t="inlineStr">
        <is>
          <t xml:space="preserve">  s.39 SPECIAL INCOME FROM RENT  (optional — default OFF)</t>
        </is>
      </c>
      <c r="B54" s="42" t="n"/>
      <c r="C54" s="42" t="n"/>
      <c r="D54" s="42" t="n"/>
      <c r="E54" s="42" t="n"/>
      <c r="F54" s="42" t="n"/>
      <c r="G54" s="42" t="n"/>
      <c r="H54" s="42" t="n"/>
      <c r="I54" s="42" t="n"/>
      <c r="J54" s="42" t="n"/>
      <c r="K54" s="42" t="n"/>
      <c r="L54" s="42" t="n"/>
    </row>
    <row r="55">
      <c r="A55" s="19" t="inlineStr">
        <is>
          <t>Apply s.39 unspent statutory deduction as special income?</t>
        </is>
      </c>
      <c r="B55" s="36" t="inlineStr">
        <is>
          <t>No</t>
        </is>
      </c>
      <c r="C55" s="38" t="inlineStr">
        <is>
          <t>VERIFY. Default No preserves the traditional statutory-% computation used in most ICAB answers. Switch to Yes only if the question clearly requires s.39.</t>
        </is>
      </c>
      <c r="D55" s="21" t="n"/>
      <c r="E55" s="21" t="n"/>
      <c r="F55" s="21" t="n"/>
      <c r="G55" s="21" t="n"/>
      <c r="H55" s="22" t="n"/>
    </row>
    <row r="56">
      <c r="A56" s="34" t="inlineStr">
        <is>
          <t>Unspent statutory deduction (statutory − actual repair, not below 0)</t>
        </is>
      </c>
      <c r="B56" s="37">
        <f>MAX($B$50-$B$49,0)</f>
        <v/>
      </c>
    </row>
    <row r="57">
      <c r="A57" s="19" t="inlineStr">
        <is>
          <t>SPECIAL INCOME FROM RENT (s.39)</t>
        </is>
      </c>
      <c r="B57" s="37">
        <f>IF($B$55="Yes",$B$56,0)</f>
        <v/>
      </c>
    </row>
    <row r="58">
      <c r="A58" s="34" t="inlineStr">
        <is>
          <t>Error check</t>
        </is>
      </c>
      <c r="B58" s="39">
        <f>IF($B$51&gt;$B$41, "CHECK REQUIRED — deductions exceed GRV","OK")</f>
        <v/>
      </c>
    </row>
    <row r="60" ht="20" customHeight="1">
      <c r="A60" s="23" t="inlineStr">
        <is>
          <t xml:space="preserve">  D   TAX-TREATMENT TABLE</t>
        </is>
      </c>
      <c r="B60" s="23" t="n"/>
      <c r="C60" s="23" t="n"/>
      <c r="D60" s="23" t="n"/>
      <c r="E60" s="23" t="n"/>
      <c r="F60" s="23" t="n"/>
      <c r="G60" s="23" t="n"/>
      <c r="H60" s="23" t="n"/>
      <c r="I60" s="23" t="n"/>
      <c r="J60" s="23" t="n"/>
      <c r="K60" s="23" t="n"/>
      <c r="L60" s="23" t="n"/>
    </row>
    <row r="61" ht="28" customHeight="1">
      <c r="A61" s="47" t="inlineStr">
        <is>
          <t>Income item</t>
        </is>
      </c>
      <c r="B61" s="47" t="inlineStr">
        <is>
          <t>Gross amount</t>
        </is>
      </c>
      <c r="C61" s="47" t="inlineStr">
        <is>
          <t>Taxable amount</t>
        </is>
      </c>
      <c r="D61" s="47" t="inlineStr">
        <is>
          <t>Exempt amount</t>
        </is>
      </c>
      <c r="E61" s="47" t="inlineStr">
        <is>
          <t>Deduction / adjustment</t>
        </is>
      </c>
      <c r="F61" s="47" t="inlineStr">
        <is>
          <t>Net taxable amount</t>
        </is>
      </c>
      <c r="G61" s="47" t="inlineStr">
        <is>
          <t>Relevant provision</t>
        </is>
      </c>
      <c r="H61" s="47" t="inlineStr">
        <is>
          <t>Explanation</t>
        </is>
      </c>
      <c r="I61" s="47" t="inlineStr"/>
      <c r="J61" s="47" t="inlineStr"/>
      <c r="K61" s="47" t="inlineStr"/>
      <c r="L61" s="47" t="inlineStr"/>
    </row>
    <row r="62">
      <c r="A62" s="34" t="inlineStr">
        <is>
          <t>Gross rental value</t>
        </is>
      </c>
      <c r="B62" s="37">
        <f>$B$41</f>
        <v/>
      </c>
      <c r="C62" s="37">
        <f>$B$41</f>
        <v/>
      </c>
      <c r="D62" s="37" t="n">
        <v>0</v>
      </c>
      <c r="E62" s="37">
        <f>$B$51</f>
        <v/>
      </c>
      <c r="F62" s="37">
        <f>$B$52</f>
        <v/>
      </c>
      <c r="G62" t="inlineStr">
        <is>
          <t>s.37–38</t>
        </is>
      </c>
      <c r="H62" t="inlineStr">
        <is>
          <t>Ordinary income from rent</t>
        </is>
      </c>
    </row>
    <row r="64" ht="20" customHeight="1">
      <c r="A64" s="23" t="inlineStr">
        <is>
          <t xml:space="preserve">  E   WORKED EXAMPLE  —  Mr. Md. Karim Rahman</t>
        </is>
      </c>
      <c r="B64" s="23" t="n"/>
      <c r="C64" s="23" t="n"/>
      <c r="D64" s="23" t="n"/>
      <c r="E64" s="23" t="n"/>
      <c r="F64" s="23" t="n"/>
      <c r="G64" s="23" t="n"/>
      <c r="H64" s="23" t="n"/>
      <c r="I64" s="23" t="n"/>
      <c r="J64" s="23" t="n"/>
      <c r="K64" s="23" t="n"/>
      <c r="L64" s="23" t="n"/>
    </row>
    <row r="65" ht="36" customHeight="1">
      <c r="A65" s="32" t="inlineStr">
        <is>
          <t>STEP 1 — FACTS. Residential flat: actual rent 480,000; annual value 450,000; adjustable advance relating to the year 40,000; service charge 24,000; vacant 2 months (electricity bills available) 80,000; municipal tax 18,000; insurance 8,000; housing-loan interest 95,000; actual repairs 50,000.</t>
        </is>
      </c>
      <c r="B65" s="33" t="n"/>
      <c r="C65" s="33" t="n"/>
      <c r="D65" s="33" t="n"/>
      <c r="E65" s="33" t="n"/>
      <c r="F65" s="33" t="n"/>
      <c r="G65" s="33" t="n"/>
      <c r="H65" s="33" t="n"/>
      <c r="I65" s="33" t="n"/>
      <c r="J65" s="33" t="n"/>
      <c r="K65" s="33" t="n"/>
      <c r="L65" s="33" t="n"/>
    </row>
    <row r="66" ht="36" customHeight="1">
      <c r="A66" s="48" t="inlineStr">
        <is>
          <t>STEP 2–4. B = max(480,000, 450,000) = 480,000. GRV = 480,000 + 40,000 + 24,000 − 80,000 = 464,000. Statutory 25% = 116,000. Deductions = 8,000 + 95,000 + 18,000 + 116,000 = 237,000. TAXABLE INCOME FROM RENT = 227,000. Actual repair is not claimed extra. s.39 toggle is No.</t>
        </is>
      </c>
      <c r="B66" s="49" t="n"/>
      <c r="C66" s="49" t="n"/>
      <c r="D66" s="49" t="n"/>
      <c r="E66" s="49" t="n"/>
      <c r="F66" s="49" t="n"/>
      <c r="G66" s="49" t="n"/>
      <c r="H66" s="49" t="n"/>
      <c r="I66" s="49" t="n"/>
      <c r="J66" s="49" t="n"/>
      <c r="K66" s="49" t="n"/>
      <c r="L66" s="49" t="n"/>
    </row>
    <row r="67">
      <c r="A67" s="19" t="inlineStr">
        <is>
          <t>Taxable rent (live)</t>
        </is>
      </c>
      <c r="B67" s="37">
        <f>$B$52</f>
        <v/>
      </c>
    </row>
    <row r="69" ht="32" customHeight="1">
      <c r="A69" s="52" t="inlineStr">
        <is>
          <t>STEP 5 — WHY. Annual value is a floor, not a ceiling — when actual rent is higher, use actual. Vacancy is allowed only with electricity-bill evidence. The 25% already covers repair, so adding 50,000 again would be a classic wrong answer. Interest is a separate actual deduction.</t>
        </is>
      </c>
      <c r="B69" s="53" t="n"/>
      <c r="C69" s="53" t="n"/>
      <c r="D69" s="53" t="n"/>
      <c r="E69" s="53" t="n"/>
      <c r="F69" s="53" t="n"/>
      <c r="G69" s="53" t="n"/>
      <c r="H69" s="53" t="n"/>
      <c r="I69" s="53" t="n"/>
      <c r="J69" s="53" t="n"/>
      <c r="K69" s="53" t="n"/>
      <c r="L69" s="53" t="n"/>
    </row>
    <row r="71" ht="20" customHeight="1">
      <c r="A71" s="23" t="inlineStr">
        <is>
          <t xml:space="preserve">  F   ICAB EXAM TIPS</t>
        </is>
      </c>
      <c r="B71" s="23" t="n"/>
      <c r="C71" s="23" t="n"/>
      <c r="D71" s="23" t="n"/>
      <c r="E71" s="23" t="n"/>
      <c r="F71" s="23" t="n"/>
      <c r="G71" s="23" t="n"/>
      <c r="H71" s="23" t="n"/>
      <c r="I71" s="23" t="n"/>
      <c r="J71" s="23" t="n"/>
      <c r="K71" s="23" t="n"/>
      <c r="L71" s="23" t="n"/>
    </row>
    <row r="72" ht="26" customHeight="1">
      <c r="A72" s="52" t="inlineStr">
        <is>
          <t>1.  Write the s.37 formula in the answer: A = (B+C+D+E)−F. Examiners look for it.</t>
        </is>
      </c>
      <c r="B72" s="53" t="n"/>
      <c r="C72" s="53" t="n"/>
      <c r="D72" s="53" t="n"/>
      <c r="E72" s="53" t="n"/>
      <c r="F72" s="53" t="n"/>
      <c r="G72" s="53" t="n"/>
      <c r="H72" s="53" t="n"/>
      <c r="I72" s="53" t="n"/>
      <c r="J72" s="53" t="n"/>
      <c r="K72" s="53" t="n"/>
      <c r="L72" s="53" t="n"/>
    </row>
    <row r="73" ht="26" customHeight="1">
      <c r="A73" s="54" t="inlineStr">
        <is>
          <t>2.  25% vs 30% depends on commercial vs non-commercial use, not on whether the owner is a company.</t>
        </is>
      </c>
      <c r="B73" s="55" t="n"/>
      <c r="C73" s="55" t="n"/>
      <c r="D73" s="55" t="n"/>
      <c r="E73" s="55" t="n"/>
      <c r="F73" s="55" t="n"/>
      <c r="G73" s="55" t="n"/>
      <c r="H73" s="55" t="n"/>
      <c r="I73" s="55" t="n"/>
      <c r="J73" s="55" t="n"/>
      <c r="K73" s="55" t="n"/>
      <c r="L73" s="55" t="n"/>
    </row>
    <row r="74" ht="26" customHeight="1">
      <c r="A74" s="52" t="inlineStr">
        <is>
          <t>3.  Self-occupied house: ITA 2023 does not give a notional-rent charge in the same way as some other systems. If the property is not let, do not invent annual-value income unless the question requires it. VERIFY.</t>
        </is>
      </c>
      <c r="B74" s="53" t="n"/>
      <c r="C74" s="53" t="n"/>
      <c r="D74" s="53" t="n"/>
      <c r="E74" s="53" t="n"/>
      <c r="F74" s="53" t="n"/>
      <c r="G74" s="53" t="n"/>
      <c r="H74" s="53" t="n"/>
      <c r="I74" s="53" t="n"/>
      <c r="J74" s="53" t="n"/>
      <c r="K74" s="53" t="n"/>
      <c r="L74" s="53" t="n"/>
    </row>
    <row r="75" ht="26" customHeight="1">
      <c r="A75" s="54" t="inlineStr">
        <is>
          <t>4.  Unadjustable security deposit / salami: historically could be deemed income; under s.37 unadjustable advance is not in GRV. If the question uses the word 'salami', discuss deemed-income provisions separately (often other sources / special). VERIFY.</t>
        </is>
      </c>
      <c r="B75" s="55" t="n"/>
      <c r="C75" s="55" t="n"/>
      <c r="D75" s="55" t="n"/>
      <c r="E75" s="55" t="n"/>
      <c r="F75" s="55" t="n"/>
      <c r="G75" s="55" t="n"/>
      <c r="H75" s="55" t="n"/>
      <c r="I75" s="55" t="n"/>
      <c r="J75" s="55" t="n"/>
      <c r="K75" s="55" t="n"/>
      <c r="L75" s="55" t="n"/>
    </row>
    <row r="76" ht="26" customHeight="1">
      <c r="A76" s="52" t="inlineStr">
        <is>
          <t>5.  Hotel is business. A row of let-out shops is rent. Classification is a free mark.</t>
        </is>
      </c>
      <c r="B76" s="53" t="n"/>
      <c r="C76" s="53" t="n"/>
      <c r="D76" s="53" t="n"/>
      <c r="E76" s="53" t="n"/>
      <c r="F76" s="53" t="n"/>
      <c r="G76" s="53" t="n"/>
      <c r="H76" s="53" t="n"/>
      <c r="I76" s="53" t="n"/>
      <c r="J76" s="53" t="n"/>
      <c r="K76" s="53" t="n"/>
      <c r="L76" s="53" t="n"/>
    </row>
    <row r="77" ht="26" customHeight="1">
      <c r="A77" s="54" t="inlineStr">
        <is>
          <t>6.  Part-year or part-property letting: prorate the statutory %.</t>
        </is>
      </c>
      <c r="B77" s="55" t="n"/>
      <c r="C77" s="55" t="n"/>
      <c r="D77" s="55" t="n"/>
      <c r="E77" s="55" t="n"/>
      <c r="F77" s="55" t="n"/>
      <c r="G77" s="55" t="n"/>
      <c r="H77" s="55" t="n"/>
      <c r="I77" s="55" t="n"/>
      <c r="J77" s="55" t="n"/>
      <c r="K77" s="55" t="n"/>
      <c r="L77" s="55" t="n"/>
    </row>
    <row r="78" ht="26" customHeight="1">
      <c r="A78" s="52" t="inlineStr">
        <is>
          <t>7.  TDS on rent is a credit on the Home sheet.</t>
        </is>
      </c>
      <c r="B78" s="53" t="n"/>
      <c r="C78" s="53" t="n"/>
      <c r="D78" s="53" t="n"/>
      <c r="E78" s="53" t="n"/>
      <c r="F78" s="53" t="n"/>
      <c r="G78" s="53" t="n"/>
      <c r="H78" s="53" t="n"/>
      <c r="I78" s="53" t="n"/>
      <c r="J78" s="53" t="n"/>
      <c r="K78" s="53" t="n"/>
      <c r="L78" s="53" t="n"/>
    </row>
    <row r="79" ht="26" customHeight="1">
      <c r="A79" s="54" t="inlineStr">
        <is>
          <t>8.  Do not deduct vacancy and also use a reduced 'actual rent for occupied months' as B — that double-counts vacancy.</t>
        </is>
      </c>
      <c r="B79" s="55" t="n"/>
      <c r="C79" s="55" t="n"/>
      <c r="D79" s="55" t="n"/>
      <c r="E79" s="55" t="n"/>
      <c r="F79" s="55" t="n"/>
      <c r="G79" s="55" t="n"/>
      <c r="H79" s="55" t="n"/>
      <c r="I79" s="55" t="n"/>
      <c r="J79" s="55" t="n"/>
      <c r="K79" s="55" t="n"/>
      <c r="L79" s="55" t="n"/>
    </row>
    <row r="81" ht="20" customHeight="1">
      <c r="A81" s="23" t="inlineStr">
        <is>
          <t xml:space="preserve">  G   ASSUMPTIONS / NOTES</t>
        </is>
      </c>
      <c r="B81" s="23" t="n"/>
      <c r="C81" s="23" t="n"/>
      <c r="D81" s="23" t="n"/>
      <c r="E81" s="23" t="n"/>
      <c r="F81" s="23" t="n"/>
      <c r="G81" s="23" t="n"/>
      <c r="H81" s="23" t="n"/>
      <c r="I81" s="23" t="n"/>
      <c r="J81" s="23" t="n"/>
      <c r="K81" s="23" t="n"/>
      <c r="L81" s="23" t="n"/>
    </row>
    <row r="82" ht="32" customHeight="1">
      <c r="A82" s="56" t="inlineStr">
        <is>
          <t>1.  Default example is a non-commercial let-out flat. Change Use to Commercial to switch the statutory % to 30%.</t>
        </is>
      </c>
      <c r="B82" s="57" t="n"/>
      <c r="C82" s="57" t="n"/>
      <c r="D82" s="57" t="n"/>
      <c r="E82" s="57" t="n"/>
      <c r="F82" s="57" t="n"/>
      <c r="G82" s="57" t="n"/>
      <c r="H82" s="57" t="n"/>
      <c r="I82" s="57" t="n"/>
      <c r="J82" s="57" t="n"/>
      <c r="K82" s="57" t="n"/>
      <c r="L82" s="57" t="n"/>
    </row>
    <row r="83" ht="32" customHeight="1">
      <c r="A83" s="56" t="inlineStr">
        <is>
          <t>2.  s.39 default is off. Turn it on only with a stated assumption.</t>
        </is>
      </c>
      <c r="B83" s="57" t="n"/>
      <c r="C83" s="57" t="n"/>
      <c r="D83" s="57" t="n"/>
      <c r="E83" s="57" t="n"/>
      <c r="F83" s="57" t="n"/>
      <c r="G83" s="57" t="n"/>
      <c r="H83" s="57" t="n"/>
      <c r="I83" s="57" t="n"/>
      <c r="J83" s="57" t="n"/>
      <c r="K83" s="57" t="n"/>
      <c r="L83" s="57" t="n"/>
    </row>
    <row r="84" ht="32" customHeight="1">
      <c r="A84" s="56" t="inlineStr">
        <is>
          <t>3.  Non-house-property letting (machinery, bare land) uses s.38(2), not the 25%/30%. Use the notes if the question is of that type.</t>
        </is>
      </c>
      <c r="B84" s="57" t="n"/>
      <c r="C84" s="57" t="n"/>
      <c r="D84" s="57" t="n"/>
      <c r="E84" s="57" t="n"/>
      <c r="F84" s="57" t="n"/>
      <c r="G84" s="57" t="n"/>
      <c r="H84" s="57" t="n"/>
      <c r="I84" s="57" t="n"/>
      <c r="J84" s="57" t="n"/>
      <c r="K84" s="57" t="n"/>
      <c r="L84" s="57" t="n"/>
    </row>
    <row r="86" ht="20" customHeight="1">
      <c r="A86" s="23" t="inlineStr">
        <is>
          <t xml:space="preserve">  H   LEGAL REFERENCES</t>
        </is>
      </c>
      <c r="B86" s="23" t="n"/>
      <c r="C86" s="23" t="n"/>
      <c r="D86" s="23" t="n"/>
      <c r="E86" s="23" t="n"/>
      <c r="F86" s="23" t="n"/>
      <c r="G86" s="23" t="n"/>
      <c r="H86" s="23" t="n"/>
      <c r="I86" s="23" t="n"/>
      <c r="J86" s="23" t="n"/>
      <c r="K86" s="23" t="n"/>
      <c r="L86" s="23" t="n"/>
    </row>
    <row r="87" ht="16" customHeight="1">
      <c r="A87" s="58" t="inlineStr">
        <is>
          <t>•  ITA 2023 ss.35–39.</t>
        </is>
      </c>
    </row>
    <row r="88" ht="16" customHeight="1">
      <c r="A88" s="58" t="inlineStr">
        <is>
          <t>•  Form IT-11GA rental schedule (useful presentation).</t>
        </is>
      </c>
    </row>
    <row r="89" ht="16" customHeight="1">
      <c r="A89" s="58" t="inlineStr">
        <is>
          <t>•  Finance Act 2024 clarifications on advance, service charge, vacancy evidence.</t>
        </is>
      </c>
    </row>
  </sheetData>
  <mergeCells count="51">
    <mergeCell ref="D21:L21"/>
    <mergeCell ref="A78:L78"/>
    <mergeCell ref="A54:L54"/>
    <mergeCell ref="C55:H55"/>
    <mergeCell ref="D27:L27"/>
    <mergeCell ref="G6:I6"/>
    <mergeCell ref="A75:L75"/>
    <mergeCell ref="A84:L84"/>
    <mergeCell ref="A66:L66"/>
    <mergeCell ref="A89:L89"/>
    <mergeCell ref="A74:L74"/>
    <mergeCell ref="A12:L12"/>
    <mergeCell ref="A2:L2"/>
    <mergeCell ref="A86:L86"/>
    <mergeCell ref="A76:L76"/>
    <mergeCell ref="A71:L71"/>
    <mergeCell ref="D28:L28"/>
    <mergeCell ref="A8:L8"/>
    <mergeCell ref="A14:L14"/>
    <mergeCell ref="A17:L17"/>
    <mergeCell ref="D25:L25"/>
    <mergeCell ref="D24:L24"/>
    <mergeCell ref="A81:L81"/>
    <mergeCell ref="A72:L72"/>
    <mergeCell ref="A10:L10"/>
    <mergeCell ref="D29:L29"/>
    <mergeCell ref="A43:L43"/>
    <mergeCell ref="D23:L23"/>
    <mergeCell ref="A13:L13"/>
    <mergeCell ref="A31:L31"/>
    <mergeCell ref="D26:L26"/>
    <mergeCell ref="A9:L9"/>
    <mergeCell ref="D20:L20"/>
    <mergeCell ref="A77:L77"/>
    <mergeCell ref="A83:L83"/>
    <mergeCell ref="C6:E6"/>
    <mergeCell ref="A73:L73"/>
    <mergeCell ref="A15:L15"/>
    <mergeCell ref="D19:L19"/>
    <mergeCell ref="A64:L64"/>
    <mergeCell ref="A60:L60"/>
    <mergeCell ref="A82:L82"/>
    <mergeCell ref="A11:L11"/>
    <mergeCell ref="A1:L1"/>
    <mergeCell ref="D22:L22"/>
    <mergeCell ref="A88:L88"/>
    <mergeCell ref="A79:L79"/>
    <mergeCell ref="B32:F32"/>
    <mergeCell ref="A69:L69"/>
    <mergeCell ref="A87:L87"/>
    <mergeCell ref="A65:L65"/>
  </mergeCells>
  <dataValidations count="2">
    <dataValidation sqref="B33" showDropDown="0" showInputMessage="0" showErrorMessage="0" allowBlank="1" errorTitle="Invalid entry" error="Select a value from the list" promptTitle="Input" prompt="Select from the list" type="list">
      <formula1>"Commercial,Non-commercial"</formula1>
    </dataValidation>
    <dataValidation sqref="B55" showDropDown="0" showInputMessage="0" showErrorMessage="0" allowBlank="1" errorTitle="Invalid entry" error="Select a value from the list" promptTitle="Input" prompt="Select from the list" type="list">
      <formula1>"Yes,No"</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Rent</oddHeader>
    <oddFooter>&amp;L&amp;8Bangladesh Income Tax Act, 2023  |  For study / exam practice — verify Finance Act of the exam year&amp;R&amp;8Page &amp;P of &amp;N</oddFooter>
    <evenHeader/>
    <evenFooter/>
    <firstHeader/>
    <firstFooter/>
  </headerFooter>
</worksheet>
</file>

<file path=xl/worksheets/sheet4.xml><?xml version="1.0" encoding="utf-8"?>
<worksheet xmlns="http://schemas.openxmlformats.org/spreadsheetml/2006/main">
  <sheetPr>
    <tabColor rgb="002E7D32"/>
    <outlinePr summaryBelow="1" summaryRight="1"/>
    <pageSetUpPr fitToPage="1"/>
  </sheetPr>
  <dimension ref="A1:L94"/>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AGRICULTURE  ·  ALL AMOUNTS IN BDT (৳)</t>
        </is>
      </c>
      <c r="B1" s="2" t="n"/>
      <c r="C1" s="2" t="n"/>
      <c r="D1" s="2" t="n"/>
      <c r="E1" s="2" t="n"/>
      <c r="F1" s="2" t="n"/>
      <c r="G1" s="2" t="n"/>
      <c r="H1" s="2" t="n"/>
      <c r="I1" s="2" t="n"/>
      <c r="J1" s="2" t="n"/>
      <c r="K1" s="2" t="n"/>
      <c r="L1" s="2" t="n"/>
    </row>
    <row r="2" ht="16" customHeight="1">
      <c r="A2" s="3" t="inlineStr">
        <is>
          <t>ITA 2023  Chapter IV  ss.40–44  |  Tea/rubber 60% agri + 40% business  |  No books → 60% of market value deemed expense (s.43)  |  Exemption only if almost exclusive agri income</t>
        </is>
      </c>
      <c r="B2" s="4" t="n"/>
      <c r="C2" s="4" t="n"/>
      <c r="D2" s="4" t="n"/>
      <c r="E2" s="4" t="n"/>
      <c r="F2" s="4" t="n"/>
      <c r="G2" s="4" t="n"/>
      <c r="H2" s="4" t="n"/>
      <c r="I2" s="4" t="n"/>
      <c r="J2" s="4" t="n"/>
      <c r="K2" s="4" t="n"/>
      <c r="L2" s="4" t="n"/>
    </row>
    <row r="3" ht="18" customHeight="1">
      <c r="A3" s="5" t="inlineStr">
        <is>
          <t>HOME / Summary</t>
        </is>
      </c>
      <c r="B3" s="5" t="inlineStr">
        <is>
          <t>Employment</t>
        </is>
      </c>
      <c r="C3" s="5" t="inlineStr">
        <is>
          <t>Financial Assets</t>
        </is>
      </c>
      <c r="D3" s="5" t="inlineStr">
        <is>
          <t>Rent</t>
        </is>
      </c>
      <c r="E3" s="6" t="inlineStr">
        <is>
          <t>Agriculture</t>
        </is>
      </c>
      <c r="F3" s="5"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30" customHeight="1">
      <c r="A9" s="24" t="inlineStr">
        <is>
          <t>•  Definition: Income from activities related to agriculture is classified as income from agriculture (s.40(1)). Agriculture includes horticulture, animal husbandry and allied activities as defined in the section — read the question's activity against s.40 rather than against Indian s.2(1A).</t>
        </is>
      </c>
      <c r="B9" s="25" t="n"/>
      <c r="C9" s="25" t="n"/>
      <c r="D9" s="25" t="n"/>
      <c r="E9" s="25" t="n"/>
      <c r="F9" s="25" t="n"/>
      <c r="G9" s="25" t="n"/>
      <c r="H9" s="25" t="n"/>
      <c r="I9" s="25" t="n"/>
      <c r="J9" s="25" t="n"/>
      <c r="K9" s="25" t="n"/>
      <c r="L9" s="25" t="n"/>
    </row>
    <row r="10" ht="30" customHeight="1">
      <c r="A10" s="24" t="inlineStr">
        <is>
          <t>•  Tea and rubber produced and processed by the assessee: 40% of sale proceeds is business income and 60% is agricultural income (s.40(2)). Split them; do not leave 100% here.</t>
        </is>
      </c>
      <c r="B10" s="25" t="n"/>
      <c r="C10" s="25" t="n"/>
      <c r="D10" s="25" t="n"/>
      <c r="E10" s="25" t="n"/>
      <c r="F10" s="25" t="n"/>
      <c r="G10" s="25" t="n"/>
      <c r="H10" s="25" t="n"/>
      <c r="I10" s="25" t="n"/>
      <c r="J10" s="25" t="n"/>
      <c r="K10" s="25" t="n"/>
      <c r="L10" s="25" t="n"/>
    </row>
    <row r="11" ht="30" customHeight="1">
      <c r="A11" s="24" t="inlineStr">
        <is>
          <t>•  Allowable deductions (s.42): land development tax / rent; cultivation, development and maintenance; interest on agricultural loans; repair of agricultural machinery and cattle-rearing / processing / transport costs; insurance; depreciation (3rd Schedule); other expenditure wholly and exclusively for agriculture that is not capital and not personal. Only the agri portion of a mixed expense is allowed.</t>
        </is>
      </c>
      <c r="B11" s="25" t="n"/>
      <c r="C11" s="25" t="n"/>
      <c r="D11" s="25" t="n"/>
      <c r="E11" s="25" t="n"/>
      <c r="F11" s="25" t="n"/>
      <c r="G11" s="25" t="n"/>
      <c r="H11" s="25" t="n"/>
      <c r="I11" s="25" t="n"/>
      <c r="J11" s="25" t="n"/>
      <c r="K11" s="25" t="n"/>
      <c r="L11" s="25" t="n"/>
    </row>
    <row r="12" ht="30" customHeight="1">
      <c r="A12" s="24" t="inlineStr">
        <is>
          <t>•  No proper books (s.43): 60% of the market value of agricultural produce is deemed allowable expenditure (not applicable to adhi / barga / bhaga / share-cropping received by a landowner).</t>
        </is>
      </c>
      <c r="B12" s="25" t="n"/>
      <c r="C12" s="25" t="n"/>
      <c r="D12" s="25" t="n"/>
      <c r="E12" s="25" t="n"/>
      <c r="F12" s="25" t="n"/>
      <c r="G12" s="25" t="n"/>
      <c r="H12" s="25" t="n"/>
      <c r="I12" s="25" t="n"/>
      <c r="J12" s="25" t="n"/>
      <c r="K12" s="25" t="n"/>
      <c r="L12" s="25" t="n"/>
    </row>
    <row r="13" ht="30" customHeight="1">
      <c r="A13" s="24" t="inlineStr">
        <is>
          <t>•  s.44: no deduction if applicable TDS provisions were ignored.</t>
        </is>
      </c>
      <c r="B13" s="25" t="n"/>
      <c r="C13" s="25" t="n"/>
      <c r="D13" s="25" t="n"/>
      <c r="E13" s="25" t="n"/>
      <c r="F13" s="25" t="n"/>
      <c r="G13" s="25" t="n"/>
      <c r="H13" s="25" t="n"/>
      <c r="I13" s="25" t="n"/>
      <c r="J13" s="25" t="n"/>
      <c r="K13" s="25" t="n"/>
      <c r="L13" s="25" t="n"/>
    </row>
    <row r="14" ht="30" customHeight="1">
      <c r="A14" s="24" t="inlineStr">
        <is>
          <t>•  Exemption (FO 2025, commonly tested): agricultural income up to BDT 500,000 is exempt if the assessee has no income other than agriculture and financial assets. The moment there is employment, rent, business, CG or other sources, the exemption falls away. Separate (and year-sensitive) reliefs exist for poultry / hatchery / dairy etc. — VERIFY amount and conditions.</t>
        </is>
      </c>
      <c r="B14" s="25" t="n"/>
      <c r="C14" s="25" t="n"/>
      <c r="D14" s="25" t="n"/>
      <c r="E14" s="25" t="n"/>
      <c r="F14" s="25" t="n"/>
      <c r="G14" s="25" t="n"/>
      <c r="H14" s="25" t="n"/>
      <c r="I14" s="25" t="n"/>
      <c r="J14" s="25" t="n"/>
      <c r="K14" s="25" t="n"/>
      <c r="L14" s="25" t="n"/>
    </row>
    <row r="15" ht="30" customHeight="1">
      <c r="A15" s="24" t="inlineStr">
        <is>
          <t>•  ICAB points: show gross receipts, then expenses, then exemption test. Do not call all rural income 'agricultural'. Sale of agricultural land is generally capital gain, not this head (unless it is produce). Livestock sold as a farm activity is usually this head.</t>
        </is>
      </c>
      <c r="B15" s="25" t="n"/>
      <c r="C15" s="25" t="n"/>
      <c r="D15" s="25" t="n"/>
      <c r="E15" s="25" t="n"/>
      <c r="F15" s="25" t="n"/>
      <c r="G15" s="25" t="n"/>
      <c r="H15" s="25" t="n"/>
      <c r="I15" s="25" t="n"/>
      <c r="J15" s="25" t="n"/>
      <c r="K15" s="25" t="n"/>
      <c r="L15" s="25" t="n"/>
    </row>
    <row r="17" ht="20" customHeight="1">
      <c r="A17" s="23" t="inlineStr">
        <is>
          <t xml:space="preserve">  B   TYPES OF INCOME  —  TAX TREATMENT</t>
        </is>
      </c>
      <c r="B17" s="23" t="n"/>
      <c r="C17" s="23" t="n"/>
      <c r="D17" s="23" t="n"/>
      <c r="E17" s="23" t="n"/>
      <c r="F17" s="23" t="n"/>
      <c r="G17" s="23" t="n"/>
      <c r="H17" s="23" t="n"/>
      <c r="I17" s="23" t="n"/>
      <c r="J17" s="23" t="n"/>
      <c r="K17" s="23" t="n"/>
      <c r="L17" s="23" t="n"/>
    </row>
    <row r="18" ht="28" customHeight="1">
      <c r="A18" s="26" t="inlineStr">
        <is>
          <t>Particular</t>
        </is>
      </c>
      <c r="B18" s="26" t="inlineStr">
        <is>
          <t>Tax treatment</t>
        </is>
      </c>
      <c r="C18" s="26" t="inlineStr">
        <is>
          <t>Relevant provision</t>
        </is>
      </c>
      <c r="D18" s="26" t="inlineStr">
        <is>
          <t>Example / exam note</t>
        </is>
      </c>
      <c r="E18" s="26" t="inlineStr"/>
      <c r="F18" s="26" t="inlineStr"/>
      <c r="G18" s="26" t="inlineStr"/>
      <c r="H18" s="26" t="inlineStr"/>
      <c r="I18" s="26" t="inlineStr"/>
      <c r="J18" s="26" t="inlineStr"/>
      <c r="K18" s="26" t="inlineStr"/>
      <c r="L18" s="26" t="inlineStr"/>
    </row>
    <row r="19">
      <c r="A19" s="27" t="inlineStr">
        <is>
          <t>Sale of paddy, jute, vegetables, fruit</t>
        </is>
      </c>
      <c r="B19" s="27" t="inlineStr">
        <is>
          <t>This head</t>
        </is>
      </c>
      <c r="C19" s="27" t="inlineStr">
        <is>
          <t>s.40</t>
        </is>
      </c>
      <c r="D19" s="27" t="inlineStr">
        <is>
          <t>Core agri receipts.</t>
        </is>
      </c>
      <c r="E19" s="27" t="n"/>
      <c r="F19" s="27" t="n"/>
      <c r="G19" s="27" t="n"/>
      <c r="H19" s="27" t="n"/>
      <c r="I19" s="27" t="n"/>
      <c r="J19" s="27" t="n"/>
      <c r="K19" s="27" t="n"/>
      <c r="L19" s="27" t="n"/>
    </row>
    <row r="20">
      <c r="A20" s="29" t="inlineStr">
        <is>
          <t>Livestock / poultry / fishery carried on as agriculture</t>
        </is>
      </c>
      <c r="B20" s="29" t="inlineStr">
        <is>
          <t>This head (unless a separate SRO applies)</t>
        </is>
      </c>
      <c r="C20" s="29" t="inlineStr">
        <is>
          <t>s.40; SRO — VERIFY</t>
        </is>
      </c>
      <c r="D20" s="29" t="inlineStr">
        <is>
          <t>Industrial-scale poultry may have a special SRO.</t>
        </is>
      </c>
      <c r="E20" s="29" t="n"/>
      <c r="F20" s="29" t="n"/>
      <c r="G20" s="29" t="n"/>
      <c r="H20" s="29" t="n"/>
      <c r="I20" s="29" t="n"/>
      <c r="J20" s="29" t="n"/>
      <c r="K20" s="29" t="n"/>
      <c r="L20" s="29" t="n"/>
    </row>
    <row r="21">
      <c r="A21" s="27" t="inlineStr">
        <is>
          <t>Tea / rubber proceeds</t>
        </is>
      </c>
      <c r="B21" s="27" t="inlineStr">
        <is>
          <t>60% here, 40% business</t>
        </is>
      </c>
      <c r="C21" s="27" t="inlineStr">
        <is>
          <t>s.40(2)</t>
        </is>
      </c>
      <c r="D21" s="27" t="inlineStr">
        <is>
          <t>Always split.</t>
        </is>
      </c>
      <c r="E21" s="27" t="n"/>
      <c r="F21" s="27" t="n"/>
      <c r="G21" s="27" t="n"/>
      <c r="H21" s="27" t="n"/>
      <c r="I21" s="27" t="n"/>
      <c r="J21" s="27" t="n"/>
      <c r="K21" s="27" t="n"/>
      <c r="L21" s="27" t="n"/>
    </row>
    <row r="22">
      <c r="A22" s="29" t="inlineStr">
        <is>
          <t>Adhi / barga / bhaga share of produce</t>
        </is>
      </c>
      <c r="B22" s="29" t="inlineStr">
        <is>
          <t>This head; s.43 deemed 60% expense does not apply</t>
        </is>
      </c>
      <c r="C22" s="29" t="inlineStr">
        <is>
          <t>s.43(2)</t>
        </is>
      </c>
      <c r="D22" s="29" t="inlineStr">
        <is>
          <t>Landowner's share.</t>
        </is>
      </c>
      <c r="E22" s="29" t="n"/>
      <c r="F22" s="29" t="n"/>
      <c r="G22" s="29" t="n"/>
      <c r="H22" s="29" t="n"/>
      <c r="I22" s="29" t="n"/>
      <c r="J22" s="29" t="n"/>
      <c r="K22" s="29" t="n"/>
      <c r="L22" s="29" t="n"/>
    </row>
    <row r="23">
      <c r="A23" s="27" t="inlineStr">
        <is>
          <t>Sale of agricultural land / orchard as capital asset</t>
        </is>
      </c>
      <c r="B23" s="27" t="inlineStr">
        <is>
          <t>Capital gain, not this head</t>
        </is>
      </c>
      <c r="C23" s="27" t="inlineStr">
        <is>
          <t>s.57</t>
        </is>
      </c>
      <c r="D23" s="27" t="inlineStr">
        <is>
          <t>Classification trap.</t>
        </is>
      </c>
      <c r="E23" s="27" t="n"/>
      <c r="F23" s="27" t="n"/>
      <c r="G23" s="27" t="n"/>
      <c r="H23" s="27" t="n"/>
      <c r="I23" s="27" t="n"/>
      <c r="J23" s="27" t="n"/>
      <c r="K23" s="27" t="n"/>
      <c r="L23" s="27" t="n"/>
    </row>
    <row r="24">
      <c r="A24" s="29" t="inlineStr">
        <is>
          <t>Land development tax, seed, fertiliser, labour, irrigation, interest</t>
        </is>
      </c>
      <c r="B24" s="29" t="inlineStr">
        <is>
          <t>Allowable</t>
        </is>
      </c>
      <c r="C24" s="29" t="inlineStr">
        <is>
          <t>s.42</t>
        </is>
      </c>
      <c r="D24" s="29" t="inlineStr">
        <is>
          <t>Wholly and exclusively; not capital.</t>
        </is>
      </c>
      <c r="E24" s="29" t="n"/>
      <c r="F24" s="29" t="n"/>
      <c r="G24" s="29" t="n"/>
      <c r="H24" s="29" t="n"/>
      <c r="I24" s="29" t="n"/>
      <c r="J24" s="29" t="n"/>
      <c r="K24" s="29" t="n"/>
      <c r="L24" s="29" t="n"/>
    </row>
    <row r="25">
      <c r="A25" s="27" t="inlineStr">
        <is>
          <t>Personal drawings / household consumption of produce</t>
        </is>
      </c>
      <c r="B25" s="27" t="inlineStr">
        <is>
          <t>Not an expense; may need a receipt adjustment</t>
        </is>
      </c>
      <c r="C25" s="27" t="inlineStr">
        <is>
          <t>s.42</t>
        </is>
      </c>
      <c r="D25" s="27" t="inlineStr">
        <is>
          <t>If consumed, either add to receipts or disallow the cost.</t>
        </is>
      </c>
      <c r="E25" s="27" t="n"/>
      <c r="F25" s="27" t="n"/>
      <c r="G25" s="27" t="n"/>
      <c r="H25" s="27" t="n"/>
      <c r="I25" s="27" t="n"/>
      <c r="J25" s="27" t="n"/>
      <c r="K25" s="27" t="n"/>
      <c r="L25" s="27" t="n"/>
    </row>
    <row r="26">
      <c r="A26" s="29" t="inlineStr">
        <is>
          <t>No books of account</t>
        </is>
      </c>
      <c r="B26" s="29" t="inlineStr">
        <is>
          <t>Deemed expense = 60% of market value of produce</t>
        </is>
      </c>
      <c r="C26" s="29" t="inlineStr">
        <is>
          <t>s.43</t>
        </is>
      </c>
      <c r="D26" s="29" t="inlineStr">
        <is>
          <t>Overrides itemised expenses.</t>
        </is>
      </c>
      <c r="E26" s="29" t="n"/>
      <c r="F26" s="29" t="n"/>
      <c r="G26" s="29" t="n"/>
      <c r="H26" s="29" t="n"/>
      <c r="I26" s="29" t="n"/>
      <c r="J26" s="29" t="n"/>
      <c r="K26" s="29" t="n"/>
      <c r="L26" s="29" t="n"/>
    </row>
    <row r="28" ht="20" customHeight="1">
      <c r="A28" s="23" t="inlineStr">
        <is>
          <t xml:space="preserve">  C   COMPUTATION TEMPLATE</t>
        </is>
      </c>
      <c r="B28" s="23" t="n"/>
      <c r="C28" s="23" t="n"/>
      <c r="D28" s="23" t="n"/>
      <c r="E28" s="23" t="n"/>
      <c r="F28" s="23" t="n"/>
      <c r="G28" s="23" t="n"/>
      <c r="H28" s="23" t="n"/>
      <c r="I28" s="23" t="n"/>
      <c r="J28" s="23" t="n"/>
      <c r="K28" s="23" t="n"/>
      <c r="L28" s="23" t="n"/>
    </row>
    <row r="29">
      <c r="A29" s="19" t="inlineStr">
        <is>
          <t>Proper books of account maintained?</t>
        </is>
      </c>
      <c r="B29" s="36" t="inlineStr">
        <is>
          <t>Yes</t>
        </is>
      </c>
    </row>
    <row r="30" ht="28" customHeight="1">
      <c r="A30" s="26" t="inlineStr">
        <is>
          <t>Agricultural receipt</t>
        </is>
      </c>
      <c r="B30" s="26" t="inlineStr">
        <is>
          <t>Gross (BDT)</t>
        </is>
      </c>
      <c r="C30" s="26" t="inlineStr">
        <is>
          <t>Of which tea/rubber (40% to business)</t>
        </is>
      </c>
      <c r="D30" s="26" t="inlineStr">
        <is>
          <t>Agri portion</t>
        </is>
      </c>
      <c r="E30" s="26" t="inlineStr">
        <is>
          <t>Note</t>
        </is>
      </c>
      <c r="F30" s="26" t="inlineStr"/>
      <c r="G30" s="26" t="inlineStr"/>
      <c r="H30" s="26" t="inlineStr"/>
      <c r="I30" s="26" t="inlineStr"/>
      <c r="J30" s="26" t="inlineStr"/>
      <c r="K30" s="26" t="inlineStr"/>
      <c r="L30" s="26" t="inlineStr"/>
    </row>
    <row r="31">
      <c r="A31" s="34" t="inlineStr">
        <is>
          <t>Sale of paddy / rice / other crops</t>
        </is>
      </c>
      <c r="B31" s="35" t="n">
        <v>850000</v>
      </c>
      <c r="C31" s="35" t="n">
        <v>0</v>
      </c>
      <c r="D31" s="37">
        <f>B31-C31*0.4</f>
        <v/>
      </c>
      <c r="E31" s="38" t="inlineStr">
        <is>
          <t>Col C = tea/rubber proceeds on that row; 40% of Col C leaves this head.</t>
        </is>
      </c>
      <c r="F31" s="21" t="n"/>
      <c r="G31" s="21" t="n"/>
      <c r="H31" s="22" t="n"/>
    </row>
    <row r="32">
      <c r="A32" s="34" t="inlineStr">
        <is>
          <t>Sale of vegetables / fruit / horticulture</t>
        </is>
      </c>
      <c r="B32" s="35" t="n">
        <v>120000</v>
      </c>
      <c r="C32" s="35" t="n">
        <v>0</v>
      </c>
      <c r="D32" s="37">
        <f>B32-C32*0.4</f>
        <v/>
      </c>
      <c r="E32" s="38" t="inlineStr">
        <is>
          <t>Col C = tea/rubber proceeds on that row; 40% of Col C leaves this head.</t>
        </is>
      </c>
      <c r="F32" s="21" t="n"/>
      <c r="G32" s="21" t="n"/>
      <c r="H32" s="22" t="n"/>
    </row>
    <row r="33">
      <c r="A33" s="34" t="inlineStr">
        <is>
          <t>Livestock / poultry / dairy / fishery receipts</t>
        </is>
      </c>
      <c r="B33" s="35" t="n">
        <v>80000</v>
      </c>
      <c r="C33" s="35" t="n">
        <v>0</v>
      </c>
      <c r="D33" s="37">
        <f>B33-C33*0.4</f>
        <v/>
      </c>
      <c r="E33" s="38" t="inlineStr">
        <is>
          <t>Col C = tea/rubber proceeds on that row; 40% of Col C leaves this head.</t>
        </is>
      </c>
      <c r="F33" s="21" t="n"/>
      <c r="G33" s="21" t="n"/>
      <c r="H33" s="22" t="n"/>
    </row>
    <row r="34">
      <c r="A34" s="34" t="inlineStr">
        <is>
          <t>Tea / rubber sale proceeds (if any)</t>
        </is>
      </c>
      <c r="B34" s="35" t="n">
        <v>0</v>
      </c>
      <c r="C34" s="35" t="n">
        <v>0</v>
      </c>
      <c r="D34" s="37">
        <f>B34-C34*0.4</f>
        <v/>
      </c>
      <c r="E34" s="38" t="inlineStr">
        <is>
          <t>Col C = tea/rubber proceeds on that row; 40% of Col C leaves this head.</t>
        </is>
      </c>
      <c r="F34" s="21" t="n"/>
      <c r="G34" s="21" t="n"/>
      <c r="H34" s="22" t="n"/>
    </row>
    <row r="35">
      <c r="A35" s="34" t="inlineStr">
        <is>
          <t>Share of produce (adhi/barga/bhaga)</t>
        </is>
      </c>
      <c r="B35" s="35" t="n">
        <v>0</v>
      </c>
      <c r="C35" s="35" t="n">
        <v>0</v>
      </c>
      <c r="D35" s="37">
        <f>B35-C35*0.4</f>
        <v/>
      </c>
      <c r="E35" s="38" t="inlineStr">
        <is>
          <t>Col C = tea/rubber proceeds on that row; 40% of Col C leaves this head.</t>
        </is>
      </c>
      <c r="F35" s="21" t="n"/>
      <c r="G35" s="21" t="n"/>
      <c r="H35" s="22" t="n"/>
    </row>
    <row r="36">
      <c r="A36" s="34" t="inlineStr">
        <is>
          <t>Other agricultural receipts</t>
        </is>
      </c>
      <c r="B36" s="35" t="n">
        <v>0</v>
      </c>
      <c r="C36" s="35" t="n">
        <v>0</v>
      </c>
      <c r="D36" s="37">
        <f>B36-C36*0.4</f>
        <v/>
      </c>
      <c r="E36" s="38" t="inlineStr">
        <is>
          <t>Col C = tea/rubber proceeds on that row; 40% of Col C leaves this head.</t>
        </is>
      </c>
      <c r="F36" s="21" t="n"/>
      <c r="G36" s="21" t="n"/>
      <c r="H36" s="22" t="n"/>
    </row>
    <row r="37">
      <c r="A37" s="34" t="inlineStr">
        <is>
          <t>Produce consumed by household (add to receipts)</t>
        </is>
      </c>
      <c r="B37" s="35" t="n">
        <v>0</v>
      </c>
      <c r="C37" s="35" t="n">
        <v>0</v>
      </c>
      <c r="D37" s="37">
        <f>B37-C37*0.4</f>
        <v/>
      </c>
      <c r="E37" s="38" t="inlineStr">
        <is>
          <t>Col C = tea/rubber proceeds on that row; 40% of Col C leaves this head.</t>
        </is>
      </c>
      <c r="F37" s="21" t="n"/>
      <c r="G37" s="21" t="n"/>
      <c r="H37" s="22" t="n"/>
    </row>
    <row r="38">
      <c r="A38" s="40" t="inlineStr">
        <is>
          <t>GROSS AGRICULTURAL RECEIPTS (after 40% tea/rubber split)</t>
        </is>
      </c>
      <c r="B38" s="37">
        <f>SUM(B31:B37)</f>
        <v/>
      </c>
      <c r="D38" s="41">
        <f>SUM(D31:D37)</f>
        <v/>
      </c>
    </row>
    <row r="39">
      <c r="A39" s="34" t="inlineStr">
        <is>
          <t>40% of tea/rubber transferred to business (memo)</t>
        </is>
      </c>
      <c r="B39" s="37">
        <f>SUM(C31:C37)*0.4</f>
        <v/>
      </c>
    </row>
    <row r="41" ht="16" customHeight="1">
      <c r="A41" s="42" t="inlineStr">
        <is>
          <t xml:space="preserve">  ALLOWABLE AGRICULTURAL EXPENSES  (s.42)  —  ignored if books = No</t>
        </is>
      </c>
      <c r="B41" s="42" t="n"/>
      <c r="C41" s="42" t="n"/>
      <c r="D41" s="42" t="n"/>
      <c r="E41" s="42" t="n"/>
      <c r="F41" s="42" t="n"/>
      <c r="G41" s="42" t="n"/>
      <c r="H41" s="42" t="n"/>
      <c r="I41" s="42" t="n"/>
      <c r="J41" s="42" t="n"/>
      <c r="K41" s="42" t="n"/>
      <c r="L41" s="42" t="n"/>
    </row>
    <row r="42">
      <c r="A42" s="34" t="inlineStr">
        <is>
          <t>Land development tax / rent of agricultural land</t>
        </is>
      </c>
      <c r="B42" s="35" t="n">
        <v>12000</v>
      </c>
    </row>
    <row r="43">
      <c r="A43" s="34" t="inlineStr">
        <is>
          <t>Seeds / seedlings / plants</t>
        </is>
      </c>
      <c r="B43" s="35" t="n">
        <v>40000</v>
      </c>
    </row>
    <row r="44">
      <c r="A44" s="34" t="inlineStr">
        <is>
          <t>Fertiliser / pesticide / manure</t>
        </is>
      </c>
      <c r="B44" s="35" t="n">
        <v>55000</v>
      </c>
    </row>
    <row r="45">
      <c r="A45" s="34" t="inlineStr">
        <is>
          <t>Labour / wages (cultivation)</t>
        </is>
      </c>
      <c r="B45" s="35" t="n">
        <v>180000</v>
      </c>
    </row>
    <row r="46">
      <c r="A46" s="34" t="inlineStr">
        <is>
          <t>Irrigation / fuel / electricity for agriculture</t>
        </is>
      </c>
      <c r="B46" s="35" t="n">
        <v>35000</v>
      </c>
    </row>
    <row r="47">
      <c r="A47" s="34" t="inlineStr">
        <is>
          <t>Interest on agricultural loan</t>
        </is>
      </c>
      <c r="B47" s="35" t="n">
        <v>20000</v>
      </c>
    </row>
    <row r="48">
      <c r="A48" s="34" t="inlineStr">
        <is>
          <t>Transport / processing of produce</t>
        </is>
      </c>
      <c r="B48" s="35" t="n">
        <v>18000</v>
      </c>
    </row>
    <row r="49">
      <c r="A49" s="34" t="inlineStr">
        <is>
          <t>Cattle feed / livestock rearing cost</t>
        </is>
      </c>
      <c r="B49" s="35" t="n">
        <v>25000</v>
      </c>
    </row>
    <row r="50">
      <c r="A50" s="34" t="inlineStr">
        <is>
          <t>Repair of agricultural machinery / implements</t>
        </is>
      </c>
      <c r="B50" s="35" t="n">
        <v>0</v>
      </c>
    </row>
    <row r="51">
      <c r="A51" s="34" t="inlineStr">
        <is>
          <t>Insurance of land / crop / cattle</t>
        </is>
      </c>
      <c r="B51" s="35" t="n">
        <v>0</v>
      </c>
    </row>
    <row r="52">
      <c r="A52" s="34" t="inlineStr">
        <is>
          <t>Tax depreciation (3rd Schedule) on agri assets</t>
        </is>
      </c>
      <c r="B52" s="35" t="n">
        <v>0</v>
      </c>
    </row>
    <row r="53">
      <c r="A53" s="34" t="inlineStr">
        <is>
          <t>Other wholly agri revenue expenses</t>
        </is>
      </c>
      <c r="B53" s="35" t="n">
        <v>0</v>
      </c>
    </row>
    <row r="54">
      <c r="A54" s="34" t="inlineStr">
        <is>
          <t>Total itemised expenses</t>
        </is>
      </c>
      <c r="B54" s="37">
        <f>SUM(B42:B53)</f>
        <v/>
      </c>
    </row>
    <row r="55">
      <c r="A55" s="34" t="inlineStr">
        <is>
          <t>s.43 deemed expense (60% of agri receipts) if no books</t>
        </is>
      </c>
      <c r="B55" s="37">
        <f>0.6*$D$38</f>
        <v/>
      </c>
    </row>
    <row r="56">
      <c r="A56" s="19" t="inlineStr">
        <is>
          <t>Expense allowed</t>
        </is>
      </c>
      <c r="B56" s="37">
        <f>IF($B$29="Yes",$B$54,$B$55)</f>
        <v/>
      </c>
    </row>
    <row r="57">
      <c r="A57" s="19" t="inlineStr">
        <is>
          <t>NET AGRICULTURAL INCOME before exemption</t>
        </is>
      </c>
      <c r="B57" s="37">
        <f>MAX($D$38-$B$56,0)</f>
        <v/>
      </c>
    </row>
    <row r="59" ht="16" customHeight="1">
      <c r="A59" s="42" t="inlineStr">
        <is>
          <t xml:space="preserve">  EXEMPTION TEST  (FO 2025 — VERIFY)</t>
        </is>
      </c>
      <c r="B59" s="42" t="n"/>
      <c r="C59" s="42" t="n"/>
      <c r="D59" s="42" t="n"/>
      <c r="E59" s="42" t="n"/>
      <c r="F59" s="42" t="n"/>
      <c r="G59" s="42" t="n"/>
      <c r="H59" s="42" t="n"/>
      <c r="I59" s="42" t="n"/>
      <c r="J59" s="42" t="n"/>
      <c r="K59" s="42" t="n"/>
      <c r="L59" s="42" t="n"/>
    </row>
    <row r="60">
      <c r="A60" s="19" t="inlineStr">
        <is>
          <t>Has the assessee any income other than agriculture and financial assets?</t>
        </is>
      </c>
      <c r="B60" s="36" t="inlineStr">
        <is>
          <t>Yes</t>
        </is>
      </c>
      <c r="C60" s="38" t="inlineStr">
        <is>
          <t>Pre-filled Yes because Mr. Rahman has employment, rent, business, CG and other sources. Change to No only for a pure farmer (+ bank interest).</t>
        </is>
      </c>
      <c r="D60" s="21" t="n"/>
      <c r="E60" s="21" t="n"/>
      <c r="F60" s="21" t="n"/>
      <c r="G60" s="21" t="n"/>
      <c r="H60" s="22" t="n"/>
    </row>
    <row r="61">
      <c r="A61" s="34" t="inlineStr">
        <is>
          <t>Exemption allowed</t>
        </is>
      </c>
      <c r="B61" s="37">
        <f>IF($B$60="No",MIN($B$57,P_AgriExempt),0)</f>
        <v/>
      </c>
    </row>
    <row r="62">
      <c r="A62" s="45" t="inlineStr">
        <is>
          <t>TAXABLE INCOME FROM AGRICULTURE</t>
        </is>
      </c>
      <c r="B62" s="46">
        <f>$B$57-$B$61</f>
        <v/>
      </c>
    </row>
    <row r="64" ht="20" customHeight="1">
      <c r="A64" s="23" t="inlineStr">
        <is>
          <t xml:space="preserve">  D   TAX-TREATMENT TABLE</t>
        </is>
      </c>
      <c r="B64" s="23" t="n"/>
      <c r="C64" s="23" t="n"/>
      <c r="D64" s="23" t="n"/>
      <c r="E64" s="23" t="n"/>
      <c r="F64" s="23" t="n"/>
      <c r="G64" s="23" t="n"/>
      <c r="H64" s="23" t="n"/>
      <c r="I64" s="23" t="n"/>
      <c r="J64" s="23" t="n"/>
      <c r="K64" s="23" t="n"/>
      <c r="L64" s="23" t="n"/>
    </row>
    <row r="65" ht="28" customHeight="1">
      <c r="A65" s="47" t="inlineStr">
        <is>
          <t>Income item</t>
        </is>
      </c>
      <c r="B65" s="47" t="inlineStr">
        <is>
          <t>Gross amount</t>
        </is>
      </c>
      <c r="C65" s="47" t="inlineStr">
        <is>
          <t>Taxable amount</t>
        </is>
      </c>
      <c r="D65" s="47" t="inlineStr">
        <is>
          <t>Exempt amount</t>
        </is>
      </c>
      <c r="E65" s="47" t="inlineStr">
        <is>
          <t>Deduction / adjustment</t>
        </is>
      </c>
      <c r="F65" s="47" t="inlineStr">
        <is>
          <t>Net taxable amount</t>
        </is>
      </c>
      <c r="G65" s="47" t="inlineStr">
        <is>
          <t>Relevant provision</t>
        </is>
      </c>
      <c r="H65" s="47" t="inlineStr">
        <is>
          <t>Explanation</t>
        </is>
      </c>
      <c r="I65" s="47" t="inlineStr"/>
      <c r="J65" s="47" t="inlineStr"/>
      <c r="K65" s="47" t="inlineStr"/>
      <c r="L65" s="47" t="inlineStr"/>
    </row>
    <row r="66">
      <c r="A66" s="34" t="inlineStr">
        <is>
          <t>Agricultural receipts (agri portion)</t>
        </is>
      </c>
      <c r="B66" s="37">
        <f>$D$38</f>
        <v/>
      </c>
      <c r="C66" s="37">
        <f>$B$62</f>
        <v/>
      </c>
      <c r="D66" s="37">
        <f>$B$61</f>
        <v/>
      </c>
      <c r="E66" s="37">
        <f>$B$56</f>
        <v/>
      </c>
      <c r="F66" s="37">
        <f>$B$62</f>
        <v/>
      </c>
      <c r="G66" t="inlineStr">
        <is>
          <t>s.40–44</t>
        </is>
      </c>
      <c r="H66" t="inlineStr">
        <is>
          <t>After expenses and exclusive-income exemption test</t>
        </is>
      </c>
    </row>
    <row r="68" ht="20" customHeight="1">
      <c r="A68" s="23" t="inlineStr">
        <is>
          <t xml:space="preserve">  E   WORKED EXAMPLE  —  Mr. Md. Karim Rahman</t>
        </is>
      </c>
      <c r="B68" s="23" t="n"/>
      <c r="C68" s="23" t="n"/>
      <c r="D68" s="23" t="n"/>
      <c r="E68" s="23" t="n"/>
      <c r="F68" s="23" t="n"/>
      <c r="G68" s="23" t="n"/>
      <c r="H68" s="23" t="n"/>
      <c r="I68" s="23" t="n"/>
      <c r="J68" s="23" t="n"/>
      <c r="K68" s="23" t="n"/>
      <c r="L68" s="23" t="n"/>
    </row>
    <row r="69" ht="36" customHeight="1">
      <c r="A69" s="32" t="inlineStr">
        <is>
          <t>STEP 1 — FACTS. Crop sales 850,000; vegetables 120,000; livestock 80,000. Expenses: land tax 12,000; seed 40,000; fertiliser 55,000; labour 180,000; irrigation 35,000; agri-loan interest 20,000; transport 18,000; cattle feed 25,000. Books are maintained. He also has employment and other heads.</t>
        </is>
      </c>
      <c r="B69" s="33" t="n"/>
      <c r="C69" s="33" t="n"/>
      <c r="D69" s="33" t="n"/>
      <c r="E69" s="33" t="n"/>
      <c r="F69" s="33" t="n"/>
      <c r="G69" s="33" t="n"/>
      <c r="H69" s="33" t="n"/>
      <c r="I69" s="33" t="n"/>
      <c r="J69" s="33" t="n"/>
      <c r="K69" s="33" t="n"/>
      <c r="L69" s="33" t="n"/>
    </row>
    <row r="70" ht="24" customHeight="1">
      <c r="A70" s="48" t="inlineStr">
        <is>
          <t>STEP 2–4. Gross 1,050,000 − expenses 385,000 = 665,000. Exemption = 0 because he has other heads. TAXABLE INCOME FROM AGRICULTURE = 665,000.</t>
        </is>
      </c>
      <c r="B70" s="49" t="n"/>
      <c r="C70" s="49" t="n"/>
      <c r="D70" s="49" t="n"/>
      <c r="E70" s="49" t="n"/>
      <c r="F70" s="49" t="n"/>
      <c r="G70" s="49" t="n"/>
      <c r="H70" s="49" t="n"/>
      <c r="I70" s="49" t="n"/>
      <c r="J70" s="49" t="n"/>
      <c r="K70" s="49" t="n"/>
      <c r="L70" s="49" t="n"/>
    </row>
    <row r="71">
      <c r="A71" s="19" t="inlineStr">
        <is>
          <t>Taxable agriculture (live)</t>
        </is>
      </c>
      <c r="B71" s="37">
        <f>$B$62</f>
        <v/>
      </c>
    </row>
    <row r="73" ht="28" customHeight="1">
      <c r="A73" s="52" t="inlineStr">
        <is>
          <t>STEP 5 — WHY. Students often deduct the BDT 5 lakh agri exemption even when the assessee is a salaried person. The exemption is a small-farmer relief, not a standard deduction. Because books exist, s.43 is not used.</t>
        </is>
      </c>
      <c r="B73" s="53" t="n"/>
      <c r="C73" s="53" t="n"/>
      <c r="D73" s="53" t="n"/>
      <c r="E73" s="53" t="n"/>
      <c r="F73" s="53" t="n"/>
      <c r="G73" s="53" t="n"/>
      <c r="H73" s="53" t="n"/>
      <c r="I73" s="53" t="n"/>
      <c r="J73" s="53" t="n"/>
      <c r="K73" s="53" t="n"/>
      <c r="L73" s="53" t="n"/>
    </row>
    <row r="75" ht="20" customHeight="1">
      <c r="A75" s="23" t="inlineStr">
        <is>
          <t xml:space="preserve">  F   ICAB EXAM TIPS</t>
        </is>
      </c>
      <c r="B75" s="23" t="n"/>
      <c r="C75" s="23" t="n"/>
      <c r="D75" s="23" t="n"/>
      <c r="E75" s="23" t="n"/>
      <c r="F75" s="23" t="n"/>
      <c r="G75" s="23" t="n"/>
      <c r="H75" s="23" t="n"/>
      <c r="I75" s="23" t="n"/>
      <c r="J75" s="23" t="n"/>
      <c r="K75" s="23" t="n"/>
      <c r="L75" s="23" t="n"/>
    </row>
    <row r="76" ht="26" customHeight="1">
      <c r="A76" s="52" t="inlineStr">
        <is>
          <t>1.  Always run the exclusive-income test before claiming the 5-lakh exemption.</t>
        </is>
      </c>
      <c r="B76" s="53" t="n"/>
      <c r="C76" s="53" t="n"/>
      <c r="D76" s="53" t="n"/>
      <c r="E76" s="53" t="n"/>
      <c r="F76" s="53" t="n"/>
      <c r="G76" s="53" t="n"/>
      <c r="H76" s="53" t="n"/>
      <c r="I76" s="53" t="n"/>
      <c r="J76" s="53" t="n"/>
      <c r="K76" s="53" t="n"/>
      <c r="L76" s="53" t="n"/>
    </row>
    <row r="77" ht="26" customHeight="1">
      <c r="A77" s="54" t="inlineStr">
        <is>
          <t>2.  Tea/rubber: 60/40 split is statutory — even if the question does not remind you.</t>
        </is>
      </c>
      <c r="B77" s="55" t="n"/>
      <c r="C77" s="55" t="n"/>
      <c r="D77" s="55" t="n"/>
      <c r="E77" s="55" t="n"/>
      <c r="F77" s="55" t="n"/>
      <c r="G77" s="55" t="n"/>
      <c r="H77" s="55" t="n"/>
      <c r="I77" s="55" t="n"/>
      <c r="J77" s="55" t="n"/>
      <c r="K77" s="55" t="n"/>
      <c r="L77" s="55" t="n"/>
    </row>
    <row r="78" ht="26" customHeight="1">
      <c r="A78" s="52" t="inlineStr">
        <is>
          <t>3.  No books → ignore the itemised list and take 60% of market value. Do not take both.</t>
        </is>
      </c>
      <c r="B78" s="53" t="n"/>
      <c r="C78" s="53" t="n"/>
      <c r="D78" s="53" t="n"/>
      <c r="E78" s="53" t="n"/>
      <c r="F78" s="53" t="n"/>
      <c r="G78" s="53" t="n"/>
      <c r="H78" s="53" t="n"/>
      <c r="I78" s="53" t="n"/>
      <c r="J78" s="53" t="n"/>
      <c r="K78" s="53" t="n"/>
      <c r="L78" s="53" t="n"/>
    </row>
    <row r="79" ht="26" customHeight="1">
      <c r="A79" s="54" t="inlineStr">
        <is>
          <t>4.  Sale of agri land ≠ agri income.</t>
        </is>
      </c>
      <c r="B79" s="55" t="n"/>
      <c r="C79" s="55" t="n"/>
      <c r="D79" s="55" t="n"/>
      <c r="E79" s="55" t="n"/>
      <c r="F79" s="55" t="n"/>
      <c r="G79" s="55" t="n"/>
      <c r="H79" s="55" t="n"/>
      <c r="I79" s="55" t="n"/>
      <c r="J79" s="55" t="n"/>
      <c r="K79" s="55" t="n"/>
      <c r="L79" s="55" t="n"/>
    </row>
    <row r="80" ht="26" customHeight="1">
      <c r="A80" s="52" t="inlineStr">
        <is>
          <t>5.  Household consumption: add to receipts or disallow cost — do not ignore it if the question gives a figure.</t>
        </is>
      </c>
      <c r="B80" s="53" t="n"/>
      <c r="C80" s="53" t="n"/>
      <c r="D80" s="53" t="n"/>
      <c r="E80" s="53" t="n"/>
      <c r="F80" s="53" t="n"/>
      <c r="G80" s="53" t="n"/>
      <c r="H80" s="53" t="n"/>
      <c r="I80" s="53" t="n"/>
      <c r="J80" s="53" t="n"/>
      <c r="K80" s="53" t="n"/>
      <c r="L80" s="53" t="n"/>
    </row>
    <row r="81" ht="26" customHeight="1">
      <c r="A81" s="54" t="inlineStr">
        <is>
          <t>6.  Interest on a loan used to buy a city apartment is not an agri deduction even if the assessee is a farmer.</t>
        </is>
      </c>
      <c r="B81" s="55" t="n"/>
      <c r="C81" s="55" t="n"/>
      <c r="D81" s="55" t="n"/>
      <c r="E81" s="55" t="n"/>
      <c r="F81" s="55" t="n"/>
      <c r="G81" s="55" t="n"/>
      <c r="H81" s="55" t="n"/>
      <c r="I81" s="55" t="n"/>
      <c r="J81" s="55" t="n"/>
      <c r="K81" s="55" t="n"/>
      <c r="L81" s="55" t="n"/>
    </row>
    <row r="82" ht="26" customHeight="1">
      <c r="A82" s="52" t="inlineStr">
        <is>
          <t>7.  If TDS on a contract labour payment was not deducted, s.44 can kill that deduction.</t>
        </is>
      </c>
      <c r="B82" s="53" t="n"/>
      <c r="C82" s="53" t="n"/>
      <c r="D82" s="53" t="n"/>
      <c r="E82" s="53" t="n"/>
      <c r="F82" s="53" t="n"/>
      <c r="G82" s="53" t="n"/>
      <c r="H82" s="53" t="n"/>
      <c r="I82" s="53" t="n"/>
      <c r="J82" s="53" t="n"/>
      <c r="K82" s="53" t="n"/>
      <c r="L82" s="53" t="n"/>
    </row>
    <row r="83" ht="26" customHeight="1">
      <c r="A83" s="54" t="inlineStr">
        <is>
          <t>8.  Poultry / dairy special SROs change almost every budget — if the question is a poultry farm, look up the exam-year SRO rather than using this general head blindly.</t>
        </is>
      </c>
      <c r="B83" s="55" t="n"/>
      <c r="C83" s="55" t="n"/>
      <c r="D83" s="55" t="n"/>
      <c r="E83" s="55" t="n"/>
      <c r="F83" s="55" t="n"/>
      <c r="G83" s="55" t="n"/>
      <c r="H83" s="55" t="n"/>
      <c r="I83" s="55" t="n"/>
      <c r="J83" s="55" t="n"/>
      <c r="K83" s="55" t="n"/>
      <c r="L83" s="55" t="n"/>
    </row>
    <row r="85" ht="20" customHeight="1">
      <c r="A85" s="23" t="inlineStr">
        <is>
          <t xml:space="preserve">  G   ASSUMPTIONS / NOTES</t>
        </is>
      </c>
      <c r="B85" s="23" t="n"/>
      <c r="C85" s="23" t="n"/>
      <c r="D85" s="23" t="n"/>
      <c r="E85" s="23" t="n"/>
      <c r="F85" s="23" t="n"/>
      <c r="G85" s="23" t="n"/>
      <c r="H85" s="23" t="n"/>
      <c r="I85" s="23" t="n"/>
      <c r="J85" s="23" t="n"/>
      <c r="K85" s="23" t="n"/>
      <c r="L85" s="23" t="n"/>
    </row>
    <row r="86" ht="32" customHeight="1">
      <c r="A86" s="56" t="inlineStr">
        <is>
          <t>1.  Default exemption amount is P_AgriExempt on the Home sheet.</t>
        </is>
      </c>
      <c r="B86" s="57" t="n"/>
      <c r="C86" s="57" t="n"/>
      <c r="D86" s="57" t="n"/>
      <c r="E86" s="57" t="n"/>
      <c r="F86" s="57" t="n"/>
      <c r="G86" s="57" t="n"/>
      <c r="H86" s="57" t="n"/>
      <c r="I86" s="57" t="n"/>
      <c r="J86" s="57" t="n"/>
      <c r="K86" s="57" t="n"/>
      <c r="L86" s="57" t="n"/>
    </row>
    <row r="87" ht="32" customHeight="1">
      <c r="A87" s="56" t="inlineStr">
        <is>
          <t>2.  s.41 special agri income (disposal of agri assets vs WDV) is not in the default example — compute it on the Capital Gain / special working if the question has a tractor sale.</t>
        </is>
      </c>
      <c r="B87" s="57" t="n"/>
      <c r="C87" s="57" t="n"/>
      <c r="D87" s="57" t="n"/>
      <c r="E87" s="57" t="n"/>
      <c r="F87" s="57" t="n"/>
      <c r="G87" s="57" t="n"/>
      <c r="H87" s="57" t="n"/>
      <c r="I87" s="57" t="n"/>
      <c r="J87" s="57" t="n"/>
      <c r="K87" s="57" t="n"/>
      <c r="L87" s="57" t="n"/>
    </row>
    <row r="88" ht="32" customHeight="1">
      <c r="A88" s="56" t="inlineStr">
        <is>
          <t>3.  40% tea/rubber memo is not automatically added on the Business sheet; if you use tea/rubber, copy that memo into a business add-line.</t>
        </is>
      </c>
      <c r="B88" s="57" t="n"/>
      <c r="C88" s="57" t="n"/>
      <c r="D88" s="57" t="n"/>
      <c r="E88" s="57" t="n"/>
      <c r="F88" s="57" t="n"/>
      <c r="G88" s="57" t="n"/>
      <c r="H88" s="57" t="n"/>
      <c r="I88" s="57" t="n"/>
      <c r="J88" s="57" t="n"/>
      <c r="K88" s="57" t="n"/>
      <c r="L88" s="57" t="n"/>
    </row>
    <row r="90" ht="20" customHeight="1">
      <c r="A90" s="23" t="inlineStr">
        <is>
          <t xml:space="preserve">  H   LEGAL REFERENCES</t>
        </is>
      </c>
      <c r="B90" s="23" t="n"/>
      <c r="C90" s="23" t="n"/>
      <c r="D90" s="23" t="n"/>
      <c r="E90" s="23" t="n"/>
      <c r="F90" s="23" t="n"/>
      <c r="G90" s="23" t="n"/>
      <c r="H90" s="23" t="n"/>
      <c r="I90" s="23" t="n"/>
      <c r="J90" s="23" t="n"/>
      <c r="K90" s="23" t="n"/>
      <c r="L90" s="23" t="n"/>
    </row>
    <row r="91" ht="16" customHeight="1">
      <c r="A91" s="58" t="inlineStr">
        <is>
          <t>•  ITA 2023 ss.40–44.</t>
        </is>
      </c>
    </row>
    <row r="92" ht="16" customHeight="1">
      <c r="A92" s="58" t="inlineStr">
        <is>
          <t>•  Third Schedule — depreciation on agri assets.</t>
        </is>
      </c>
    </row>
    <row r="93" ht="16" customHeight="1">
      <c r="A93" s="58" t="inlineStr">
        <is>
          <t>•  Finance Ordinance 2025 — BDT 500,000 exclusive-agri exemption. VERIFY.</t>
        </is>
      </c>
    </row>
    <row r="94" ht="16" customHeight="1">
      <c r="A94" s="58" t="inlineStr">
        <is>
          <t>•  Relevant poultry / dairy / fishery SRO of the exam year — VERIFY.</t>
        </is>
      </c>
    </row>
  </sheetData>
  <mergeCells count="55">
    <mergeCell ref="D21:L21"/>
    <mergeCell ref="A78:L78"/>
    <mergeCell ref="G6:I6"/>
    <mergeCell ref="A41:L41"/>
    <mergeCell ref="A90:L90"/>
    <mergeCell ref="A75:L75"/>
    <mergeCell ref="A80:L80"/>
    <mergeCell ref="E32:H32"/>
    <mergeCell ref="A12:L12"/>
    <mergeCell ref="E37:H37"/>
    <mergeCell ref="A2:L2"/>
    <mergeCell ref="A86:L86"/>
    <mergeCell ref="C60:H60"/>
    <mergeCell ref="A76:L76"/>
    <mergeCell ref="A85:L85"/>
    <mergeCell ref="A8:L8"/>
    <mergeCell ref="A14:L14"/>
    <mergeCell ref="A17:L17"/>
    <mergeCell ref="E33:H33"/>
    <mergeCell ref="D25:L25"/>
    <mergeCell ref="A91:L91"/>
    <mergeCell ref="D24:L24"/>
    <mergeCell ref="A81:L81"/>
    <mergeCell ref="A10:L10"/>
    <mergeCell ref="D23:L23"/>
    <mergeCell ref="A68:L68"/>
    <mergeCell ref="E35:H35"/>
    <mergeCell ref="A28:L28"/>
    <mergeCell ref="A93:L93"/>
    <mergeCell ref="A13:L13"/>
    <mergeCell ref="D26:L26"/>
    <mergeCell ref="A9:L9"/>
    <mergeCell ref="D20:L20"/>
    <mergeCell ref="A77:L77"/>
    <mergeCell ref="A83:L83"/>
    <mergeCell ref="C6:E6"/>
    <mergeCell ref="A59:L59"/>
    <mergeCell ref="A92:L92"/>
    <mergeCell ref="A73:L73"/>
    <mergeCell ref="A15:L15"/>
    <mergeCell ref="D19:L19"/>
    <mergeCell ref="A64:L64"/>
    <mergeCell ref="E31:H31"/>
    <mergeCell ref="A82:L82"/>
    <mergeCell ref="A11:L11"/>
    <mergeCell ref="E34:H34"/>
    <mergeCell ref="A1:L1"/>
    <mergeCell ref="A94:L94"/>
    <mergeCell ref="D22:L22"/>
    <mergeCell ref="A88:L88"/>
    <mergeCell ref="A70:L70"/>
    <mergeCell ref="A79:L79"/>
    <mergeCell ref="A69:L69"/>
    <mergeCell ref="A87:L87"/>
    <mergeCell ref="E36:H36"/>
  </mergeCells>
  <dataValidations count="2">
    <dataValidation sqref="B29" showDropDown="0" showInputMessage="0" showErrorMessage="0" allowBlank="1" errorTitle="Invalid entry" error="Select a value from the list" promptTitle="Input" prompt="Select from the list" type="list">
      <formula1>"Yes,No"</formula1>
    </dataValidation>
    <dataValidation sqref="B60" showDropDown="0" showInputMessage="0" showErrorMessage="0" allowBlank="1" errorTitle="Invalid entry" error="Select a value from the list" promptTitle="Input" prompt="Select from the list" type="list">
      <formula1>"Yes,No"</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Agriculture</oddHeader>
    <oddFooter>&amp;L&amp;8Bangladesh Income Tax Act, 2023  |  For study / exam practice — verify Finance Act of the exam year&amp;R&amp;8Page &amp;P of &amp;N</oddFooter>
    <evenHeader/>
    <evenFooter/>
    <firstHeader/>
    <firstFooter/>
  </headerFooter>
</worksheet>
</file>

<file path=xl/worksheets/sheet5.xml><?xml version="1.0" encoding="utf-8"?>
<worksheet xmlns="http://schemas.openxmlformats.org/spreadsheetml/2006/main">
  <sheetPr>
    <tabColor rgb="00E65100"/>
    <outlinePr summaryBelow="1" summaryRight="1"/>
    <pageSetUpPr fitToPage="1"/>
  </sheetPr>
  <dimension ref="A1:L112"/>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BUSINESS  ·  ALL AMOUNTS IN BDT (৳)</t>
        </is>
      </c>
      <c r="B1" s="2" t="n"/>
      <c r="C1" s="2" t="n"/>
      <c r="D1" s="2" t="n"/>
      <c r="E1" s="2" t="n"/>
      <c r="F1" s="2" t="n"/>
      <c r="G1" s="2" t="n"/>
      <c r="H1" s="2" t="n"/>
      <c r="I1" s="2" t="n"/>
      <c r="J1" s="2" t="n"/>
      <c r="K1" s="2" t="n"/>
      <c r="L1" s="2" t="n"/>
    </row>
    <row r="2" ht="16" customHeight="1">
      <c r="A2" s="3" t="inlineStr">
        <is>
          <t>ITA 2023  Chapter V  ss.45–56  |  Start from profit as per accounts  |  Add disallowables (s.55)  |  Substitute tax depreciation (3rd Schedule)  |  Special business income s.56</t>
        </is>
      </c>
      <c r="B2" s="4" t="n"/>
      <c r="C2" s="4" t="n"/>
      <c r="D2" s="4" t="n"/>
      <c r="E2" s="4" t="n"/>
      <c r="F2" s="4" t="n"/>
      <c r="G2" s="4" t="n"/>
      <c r="H2" s="4" t="n"/>
      <c r="I2" s="4" t="n"/>
      <c r="J2" s="4" t="n"/>
      <c r="K2" s="4" t="n"/>
      <c r="L2" s="4" t="n"/>
    </row>
    <row r="3" ht="18" customHeight="1">
      <c r="A3" s="5" t="inlineStr">
        <is>
          <t>HOME / Summary</t>
        </is>
      </c>
      <c r="B3" s="5" t="inlineStr">
        <is>
          <t>Employment</t>
        </is>
      </c>
      <c r="C3" s="5" t="inlineStr">
        <is>
          <t>Financial Assets</t>
        </is>
      </c>
      <c r="D3" s="5" t="inlineStr">
        <is>
          <t>Rent</t>
        </is>
      </c>
      <c r="E3" s="5" t="inlineStr">
        <is>
          <t>Agriculture</t>
        </is>
      </c>
      <c r="F3" s="6"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32" customHeight="1">
      <c r="A9" s="24" t="inlineStr">
        <is>
          <t>•  Definition: Profits and gains of a business carried on (or deemed to be carried on) in the income year, plus specified items such as association service-income, FMV of business benefits, management fees, certain lease income, realised exchange gains and income of a discontinued business (s.45). 'Business' includes trade, commerce, manufacture, a venture in that nature, and profession/vocation (s.2).</t>
        </is>
      </c>
      <c r="B9" s="25" t="n"/>
      <c r="C9" s="25" t="n"/>
      <c r="D9" s="25" t="n"/>
      <c r="E9" s="25" t="n"/>
      <c r="F9" s="25" t="n"/>
      <c r="G9" s="25" t="n"/>
      <c r="H9" s="25" t="n"/>
      <c r="I9" s="25" t="n"/>
      <c r="J9" s="25" t="n"/>
      <c r="K9" s="25" t="n"/>
      <c r="L9" s="25" t="n"/>
    </row>
    <row r="10" ht="32" customHeight="1">
      <c r="A10" s="24" t="inlineStr">
        <is>
          <t>•  Computation (s.46): start from the accounting profit for that distinct business, then apply the Chapter V deductions (ss.49–54) and the s.55 disallowances. Speculation is kept separate (s.48).</t>
        </is>
      </c>
      <c r="B10" s="25" t="n"/>
      <c r="C10" s="25" t="n"/>
      <c r="D10" s="25" t="n"/>
      <c r="E10" s="25" t="n"/>
      <c r="F10" s="25" t="n"/>
      <c r="G10" s="25" t="n"/>
      <c r="H10" s="25" t="n"/>
      <c r="I10" s="25" t="n"/>
      <c r="J10" s="25" t="n"/>
      <c r="K10" s="25" t="n"/>
      <c r="L10" s="25" t="n"/>
    </row>
    <row r="11" ht="32" customHeight="1">
      <c r="A11" s="24" t="inlineStr">
        <is>
          <t>•  Allowable in outline (s.49–54): wholly and exclusively revenue expenditure for the business; purchases and inventory; taxes other than income tax; rent; employee costs that are employment income of the staff; repairs, insurance, utilities; realised FX loss; WPPF up to 5% of disclosed NP; tax depreciation (3rd Schedule); bad debts that meet s.51; interest within s.52–53 limits.</t>
        </is>
      </c>
      <c r="B11" s="25" t="n"/>
      <c r="C11" s="25" t="n"/>
      <c r="D11" s="25" t="n"/>
      <c r="E11" s="25" t="n"/>
      <c r="F11" s="25" t="n"/>
      <c r="G11" s="25" t="n"/>
      <c r="H11" s="25" t="n"/>
      <c r="I11" s="25" t="n"/>
      <c r="J11" s="25" t="n"/>
      <c r="K11" s="25" t="n"/>
      <c r="L11" s="25" t="n"/>
    </row>
    <row r="12" ht="32" customHeight="1">
      <c r="A12" s="24" t="inlineStr">
        <is>
          <t>•  Classic s.55 disallowances (exam list): personal; capital; income tax; general provisions / contingent liabilities / impairment (not specific); cash salary; cash rent; other payments ≥ BDT 50,000 otherwise than by bank transfer (VERIFY threshold); perquisite per employee above BDT 1,000,000 (employer's assessment); royalty / technical / intra-group / HO expense above 10% of disclosed net business profit; foreign travel above 0.50% of turnover; promotional expense (ex-advertisement) above 0.50% of turnover; entertainment above 4% of the first BDT 1,000,000 of income (computed before this deduction) plus 2% of the remainder; unpaid TDS cases; partner salary/interest in a firm; unrecognised-fund payments.</t>
        </is>
      </c>
      <c r="B12" s="25" t="n"/>
      <c r="C12" s="25" t="n"/>
      <c r="D12" s="25" t="n"/>
      <c r="E12" s="25" t="n"/>
      <c r="F12" s="25" t="n"/>
      <c r="G12" s="25" t="n"/>
      <c r="H12" s="25" t="n"/>
      <c r="I12" s="25" t="n"/>
      <c r="J12" s="25" t="n"/>
      <c r="K12" s="25" t="n"/>
      <c r="L12" s="25" t="n"/>
    </row>
    <row r="13" ht="32" customHeight="1">
      <c r="A13" s="24" t="inlineStr">
        <is>
          <t>•  s.56 special business income: amounts disallowed under s.55 (other than certain RoU depreciation / finance items) are special business income — taxed at the regular rate with no set-off, no carry-forward and no 3rd Schedule depreciation against them. In a straightforward add-back question the numerical result is the same as adding back to business profit; show a memo if the examiner asks for s.56 separately. Do not double-count.</t>
        </is>
      </c>
      <c r="B13" s="25" t="n"/>
      <c r="C13" s="25" t="n"/>
      <c r="D13" s="25" t="n"/>
      <c r="E13" s="25" t="n"/>
      <c r="F13" s="25" t="n"/>
      <c r="G13" s="25" t="n"/>
      <c r="H13" s="25" t="n"/>
      <c r="I13" s="25" t="n"/>
      <c r="J13" s="25" t="n"/>
      <c r="K13" s="25" t="n"/>
      <c r="L13" s="25" t="n"/>
    </row>
    <row r="14" ht="32" customHeight="1">
      <c r="A14" s="24" t="inlineStr">
        <is>
          <t>•  Unrealised FX and unrealised fair-value gains/losses are not tax items. Only realised FX enters the computation.</t>
        </is>
      </c>
      <c r="B14" s="25" t="n"/>
      <c r="C14" s="25" t="n"/>
      <c r="D14" s="25" t="n"/>
      <c r="E14" s="25" t="n"/>
      <c r="F14" s="25" t="n"/>
      <c r="G14" s="25" t="n"/>
      <c r="H14" s="25" t="n"/>
      <c r="I14" s="25" t="n"/>
      <c r="J14" s="25" t="n"/>
      <c r="K14" s="25" t="n"/>
      <c r="L14" s="25" t="n"/>
    </row>
    <row r="15" ht="32" customHeight="1">
      <c r="A15" s="24" t="inlineStr">
        <is>
          <t>•  ICAB presentation: Profit as per accounts + disallowable expenses − allowable items not charged / income taxed under another head − tax depreciation + accounting depreciation = taxable business income.</t>
        </is>
      </c>
      <c r="B15" s="25" t="n"/>
      <c r="C15" s="25" t="n"/>
      <c r="D15" s="25" t="n"/>
      <c r="E15" s="25" t="n"/>
      <c r="F15" s="25" t="n"/>
      <c r="G15" s="25" t="n"/>
      <c r="H15" s="25" t="n"/>
      <c r="I15" s="25" t="n"/>
      <c r="J15" s="25" t="n"/>
      <c r="K15" s="25" t="n"/>
      <c r="L15" s="25" t="n"/>
    </row>
    <row r="17" ht="20" customHeight="1">
      <c r="A17" s="23" t="inlineStr">
        <is>
          <t xml:space="preserve">  B   TYPES OF ADJUSTMENT  —  TAX TREATMENT</t>
        </is>
      </c>
      <c r="B17" s="23" t="n"/>
      <c r="C17" s="23" t="n"/>
      <c r="D17" s="23" t="n"/>
      <c r="E17" s="23" t="n"/>
      <c r="F17" s="23" t="n"/>
      <c r="G17" s="23" t="n"/>
      <c r="H17" s="23" t="n"/>
      <c r="I17" s="23" t="n"/>
      <c r="J17" s="23" t="n"/>
      <c r="K17" s="23" t="n"/>
      <c r="L17" s="23" t="n"/>
    </row>
    <row r="18" ht="28" customHeight="1">
      <c r="A18" s="26" t="inlineStr">
        <is>
          <t>Particular</t>
        </is>
      </c>
      <c r="B18" s="26" t="inlineStr">
        <is>
          <t>Tax treatment</t>
        </is>
      </c>
      <c r="C18" s="26" t="inlineStr">
        <is>
          <t>Relevant provision</t>
        </is>
      </c>
      <c r="D18" s="26" t="inlineStr">
        <is>
          <t>Example / exam note</t>
        </is>
      </c>
      <c r="E18" s="26" t="inlineStr"/>
      <c r="F18" s="26" t="inlineStr"/>
      <c r="G18" s="26" t="inlineStr"/>
      <c r="H18" s="26" t="inlineStr"/>
      <c r="I18" s="26" t="inlineStr"/>
      <c r="J18" s="26" t="inlineStr"/>
      <c r="K18" s="26" t="inlineStr"/>
      <c r="L18" s="26" t="inlineStr"/>
    </row>
    <row r="19">
      <c r="A19" s="27" t="inlineStr">
        <is>
          <t>Net profit as per accounts (PBT)</t>
        </is>
      </c>
      <c r="B19" s="27" t="inlineStr">
        <is>
          <t>Starting point</t>
        </is>
      </c>
      <c r="C19" s="27" t="inlineStr">
        <is>
          <t>s.46</t>
        </is>
      </c>
      <c r="D19" s="27" t="inlineStr">
        <is>
          <t>Use before-tax profit.</t>
        </is>
      </c>
      <c r="E19" s="27" t="n"/>
      <c r="F19" s="27" t="n"/>
      <c r="G19" s="27" t="n"/>
      <c r="H19" s="27" t="n"/>
      <c r="I19" s="27" t="n"/>
      <c r="J19" s="27" t="n"/>
      <c r="K19" s="27" t="n"/>
      <c r="L19" s="27" t="n"/>
    </row>
    <row r="20">
      <c r="A20" s="29" t="inlineStr">
        <is>
          <t>Accounting depreciation</t>
        </is>
      </c>
      <c r="B20" s="29" t="inlineStr">
        <is>
          <t>Add back</t>
        </is>
      </c>
      <c r="C20" s="29" t="inlineStr">
        <is>
          <t>s.55 / 3rd Schedule</t>
        </is>
      </c>
      <c r="D20" s="29" t="inlineStr">
        <is>
          <t>Replace with tax depreciation.</t>
        </is>
      </c>
      <c r="E20" s="29" t="n"/>
      <c r="F20" s="29" t="n"/>
      <c r="G20" s="29" t="n"/>
      <c r="H20" s="29" t="n"/>
      <c r="I20" s="29" t="n"/>
      <c r="J20" s="29" t="n"/>
      <c r="K20" s="29" t="n"/>
      <c r="L20" s="29" t="n"/>
    </row>
    <row r="21">
      <c r="A21" s="27" t="inlineStr">
        <is>
          <t>Tax depreciation (3rd Schedule)</t>
        </is>
      </c>
      <c r="B21" s="27" t="inlineStr">
        <is>
          <t>Deduct</t>
        </is>
      </c>
      <c r="C21" s="27" t="inlineStr">
        <is>
          <t>3rd Schedule</t>
        </is>
      </c>
      <c r="D21" s="27" t="inlineStr">
        <is>
          <t>Normal / initial / accelerated as applicable.</t>
        </is>
      </c>
      <c r="E21" s="27" t="n"/>
      <c r="F21" s="27" t="n"/>
      <c r="G21" s="27" t="n"/>
      <c r="H21" s="27" t="n"/>
      <c r="I21" s="27" t="n"/>
      <c r="J21" s="27" t="n"/>
      <c r="K21" s="27" t="n"/>
      <c r="L21" s="27" t="n"/>
    </row>
    <row r="22">
      <c r="A22" s="29" t="inlineStr">
        <is>
          <t>Personal drawings / household expenses</t>
        </is>
      </c>
      <c r="B22" s="29" t="inlineStr">
        <is>
          <t>Add back</t>
        </is>
      </c>
      <c r="C22" s="29" t="inlineStr">
        <is>
          <t>s.55</t>
        </is>
      </c>
      <c r="D22" s="29" t="inlineStr">
        <is>
          <t>Never allowable.</t>
        </is>
      </c>
      <c r="E22" s="29" t="n"/>
      <c r="F22" s="29" t="n"/>
      <c r="G22" s="29" t="n"/>
      <c r="H22" s="29" t="n"/>
      <c r="I22" s="29" t="n"/>
      <c r="J22" s="29" t="n"/>
      <c r="K22" s="29" t="n"/>
      <c r="L22" s="29" t="n"/>
    </row>
    <row r="23">
      <c r="A23" s="27" t="inlineStr">
        <is>
          <t>Capital expenditure charged to P&amp;L</t>
        </is>
      </c>
      <c r="B23" s="27" t="inlineStr">
        <is>
          <t>Add back</t>
        </is>
      </c>
      <c r="C23" s="27" t="inlineStr">
        <is>
          <t>s.55</t>
        </is>
      </c>
      <c r="D23" s="27" t="inlineStr">
        <is>
          <t>May become a depreciable addition.</t>
        </is>
      </c>
      <c r="E23" s="27" t="n"/>
      <c r="F23" s="27" t="n"/>
      <c r="G23" s="27" t="n"/>
      <c r="H23" s="27" t="n"/>
      <c r="I23" s="27" t="n"/>
      <c r="J23" s="27" t="n"/>
      <c r="K23" s="27" t="n"/>
      <c r="L23" s="27" t="n"/>
    </row>
    <row r="24">
      <c r="A24" s="29" t="inlineStr">
        <is>
          <t>Income tax / tax penalty / fine</t>
        </is>
      </c>
      <c r="B24" s="29" t="inlineStr">
        <is>
          <t>Add back</t>
        </is>
      </c>
      <c r="C24" s="29" t="inlineStr">
        <is>
          <t>s.55</t>
        </is>
      </c>
      <c r="D24" s="29" t="inlineStr">
        <is>
          <t>Income tax is not a business expense.</t>
        </is>
      </c>
      <c r="E24" s="29" t="n"/>
      <c r="F24" s="29" t="n"/>
      <c r="G24" s="29" t="n"/>
      <c r="H24" s="29" t="n"/>
      <c r="I24" s="29" t="n"/>
      <c r="J24" s="29" t="n"/>
      <c r="K24" s="29" t="n"/>
      <c r="L24" s="29" t="n"/>
    </row>
    <row r="25">
      <c r="A25" s="27" t="inlineStr">
        <is>
          <t>General provision for bad debts</t>
        </is>
      </c>
      <c r="B25" s="27" t="inlineStr">
        <is>
          <t>Add back</t>
        </is>
      </c>
      <c r="C25" s="27" t="inlineStr">
        <is>
          <t>s.51 / s.55</t>
        </is>
      </c>
      <c r="D25" s="27" t="inlineStr">
        <is>
          <t>Only a specific write-off that was previously offered is allowable.</t>
        </is>
      </c>
      <c r="E25" s="27" t="n"/>
      <c r="F25" s="27" t="n"/>
      <c r="G25" s="27" t="n"/>
      <c r="H25" s="27" t="n"/>
      <c r="I25" s="27" t="n"/>
      <c r="J25" s="27" t="n"/>
      <c r="K25" s="27" t="n"/>
      <c r="L25" s="27" t="n"/>
    </row>
    <row r="26">
      <c r="A26" s="29" t="inlineStr">
        <is>
          <t>Entertainment — excess over 4% / 2%</t>
        </is>
      </c>
      <c r="B26" s="29" t="inlineStr">
        <is>
          <t>Add back excess</t>
        </is>
      </c>
      <c r="C26" s="29" t="inlineStr">
        <is>
          <t>s.55</t>
        </is>
      </c>
      <c r="D26" s="29" t="inlineStr">
        <is>
          <t>Base = income before this deduction.</t>
        </is>
      </c>
      <c r="E26" s="29" t="n"/>
      <c r="F26" s="29" t="n"/>
      <c r="G26" s="29" t="n"/>
      <c r="H26" s="29" t="n"/>
      <c r="I26" s="29" t="n"/>
      <c r="J26" s="29" t="n"/>
      <c r="K26" s="29" t="n"/>
      <c r="L26" s="29" t="n"/>
    </row>
    <row r="27">
      <c r="A27" s="27" t="inlineStr">
        <is>
          <t>Cash salary / cash rent</t>
        </is>
      </c>
      <c r="B27" s="27" t="inlineStr">
        <is>
          <t>Add back</t>
        </is>
      </c>
      <c r="C27" s="27" t="inlineStr">
        <is>
          <t>s.55</t>
        </is>
      </c>
      <c r="D27" s="27" t="inlineStr">
        <is>
          <t>Must be bank transfer.</t>
        </is>
      </c>
      <c r="E27" s="27" t="n"/>
      <c r="F27" s="27" t="n"/>
      <c r="G27" s="27" t="n"/>
      <c r="H27" s="27" t="n"/>
      <c r="I27" s="27" t="n"/>
      <c r="J27" s="27" t="n"/>
      <c r="K27" s="27" t="n"/>
      <c r="L27" s="27" t="n"/>
    </row>
    <row r="28">
      <c r="A28" s="29" t="inlineStr">
        <is>
          <t>Cash purchase ≥ threshold</t>
        </is>
      </c>
      <c r="B28" s="29" t="inlineStr">
        <is>
          <t>Add back</t>
        </is>
      </c>
      <c r="C28" s="29" t="inlineStr">
        <is>
          <t>s.55</t>
        </is>
      </c>
      <c r="D28" s="29" t="inlineStr">
        <is>
          <t>Default threshold BDT 50,000 — VERIFY.</t>
        </is>
      </c>
      <c r="E28" s="29" t="n"/>
      <c r="F28" s="29" t="n"/>
      <c r="G28" s="29" t="n"/>
      <c r="H28" s="29" t="n"/>
      <c r="I28" s="29" t="n"/>
      <c r="J28" s="29" t="n"/>
      <c r="K28" s="29" t="n"/>
      <c r="L28" s="29" t="n"/>
    </row>
    <row r="29">
      <c r="A29" s="27" t="inlineStr">
        <is>
          <t>Perquisite per employee &gt; BDT 1,000,000</t>
        </is>
      </c>
      <c r="B29" s="27" t="inlineStr">
        <is>
          <t>Add back excess (employer)</t>
        </is>
      </c>
      <c r="C29" s="27" t="inlineStr">
        <is>
          <t>s.55</t>
        </is>
      </c>
      <c r="D29" s="27" t="inlineStr">
        <is>
          <t>Does not reduce the employee's income.</t>
        </is>
      </c>
      <c r="E29" s="27" t="n"/>
      <c r="F29" s="27" t="n"/>
      <c r="G29" s="27" t="n"/>
      <c r="H29" s="27" t="n"/>
      <c r="I29" s="27" t="n"/>
      <c r="J29" s="27" t="n"/>
      <c r="K29" s="27" t="n"/>
      <c r="L29" s="27" t="n"/>
    </row>
    <row r="30">
      <c r="A30" s="29" t="inlineStr">
        <is>
          <t>Royalty / HO / intra-group &gt; 10% of NP</t>
        </is>
      </c>
      <c r="B30" s="29" t="inlineStr">
        <is>
          <t>Add back excess</t>
        </is>
      </c>
      <c r="C30" s="29" t="inlineStr">
        <is>
          <t>s.55</t>
        </is>
      </c>
      <c r="D30" s="29" t="inlineStr">
        <is>
          <t>Net business profit from own operations.</t>
        </is>
      </c>
      <c r="E30" s="29" t="n"/>
      <c r="F30" s="29" t="n"/>
      <c r="G30" s="29" t="n"/>
      <c r="H30" s="29" t="n"/>
      <c r="I30" s="29" t="n"/>
      <c r="J30" s="29" t="n"/>
      <c r="K30" s="29" t="n"/>
      <c r="L30" s="29" t="n"/>
    </row>
    <row r="31">
      <c r="A31" s="27" t="inlineStr">
        <is>
          <t>Foreign travel &gt; 0.50% of turnover</t>
        </is>
      </c>
      <c r="B31" s="27" t="inlineStr">
        <is>
          <t>Add back excess</t>
        </is>
      </c>
      <c r="C31" s="27" t="inlineStr">
        <is>
          <t>s.55</t>
        </is>
      </c>
      <c r="D31" s="27" t="inlineStr">
        <is>
          <t>Govt-service travel may be excepted.</t>
        </is>
      </c>
      <c r="E31" s="27" t="n"/>
      <c r="F31" s="27" t="n"/>
      <c r="G31" s="27" t="n"/>
      <c r="H31" s="27" t="n"/>
      <c r="I31" s="27" t="n"/>
      <c r="J31" s="27" t="n"/>
      <c r="K31" s="27" t="n"/>
      <c r="L31" s="27" t="n"/>
    </row>
    <row r="32">
      <c r="A32" s="29" t="inlineStr">
        <is>
          <t>Promotion (ex-advertisement) &gt; 0.50% of TO</t>
        </is>
      </c>
      <c r="B32" s="29" t="inlineStr">
        <is>
          <t>Add back excess</t>
        </is>
      </c>
      <c r="C32" s="29" t="inlineStr">
        <is>
          <t>s.55</t>
        </is>
      </c>
      <c r="D32" s="29" t="inlineStr">
        <is>
          <t>Advertisement itself is outside this cap.</t>
        </is>
      </c>
      <c r="E32" s="29" t="n"/>
      <c r="F32" s="29" t="n"/>
      <c r="G32" s="29" t="n"/>
      <c r="H32" s="29" t="n"/>
      <c r="I32" s="29" t="n"/>
      <c r="J32" s="29" t="n"/>
      <c r="K32" s="29" t="n"/>
      <c r="L32" s="29" t="n"/>
    </row>
    <row r="33">
      <c r="A33" s="27" t="inlineStr">
        <is>
          <t>Unrealised FX / FV loss</t>
        </is>
      </c>
      <c r="B33" s="27" t="inlineStr">
        <is>
          <t>Add back</t>
        </is>
      </c>
      <c r="C33" s="27" t="inlineStr">
        <is>
          <t>practice / s.55</t>
        </is>
      </c>
      <c r="D33" s="27" t="inlineStr">
        <is>
          <t>Only realised FX is allowed.</t>
        </is>
      </c>
      <c r="E33" s="27" t="n"/>
      <c r="F33" s="27" t="n"/>
      <c r="G33" s="27" t="n"/>
      <c r="H33" s="27" t="n"/>
      <c r="I33" s="27" t="n"/>
      <c r="J33" s="27" t="n"/>
      <c r="K33" s="27" t="n"/>
      <c r="L33" s="27" t="n"/>
    </row>
    <row r="34">
      <c r="A34" s="29" t="inlineStr">
        <is>
          <t>FDR interest / dividend / rent credited in P&amp;L</t>
        </is>
      </c>
      <c r="B34" s="29" t="inlineStr">
        <is>
          <t>Deduct (taxed under other head)</t>
        </is>
      </c>
      <c r="C34" s="29" t="inlineStr">
        <is>
          <t>s.30, s.62, s.36</t>
        </is>
      </c>
      <c r="D34" s="29" t="inlineStr">
        <is>
          <t>Avoid double taxation.</t>
        </is>
      </c>
      <c r="E34" s="29" t="n"/>
      <c r="F34" s="29" t="n"/>
      <c r="G34" s="29" t="n"/>
      <c r="H34" s="29" t="n"/>
      <c r="I34" s="29" t="n"/>
      <c r="J34" s="29" t="n"/>
      <c r="K34" s="29" t="n"/>
      <c r="L34" s="29" t="n"/>
    </row>
    <row r="35">
      <c r="A35" s="27" t="inlineStr">
        <is>
          <t>Donation (unless a business expense)</t>
        </is>
      </c>
      <c r="B35" s="27" t="inlineStr">
        <is>
          <t>Add back; may be rebate</t>
        </is>
      </c>
      <c r="C35" s="27" t="inlineStr">
        <is>
          <t>s.55; Sixth Schedule Part 3</t>
        </is>
      </c>
      <c r="D35" s="27" t="inlineStr">
        <is>
          <t>Rebate is not a P&amp;L deduction.</t>
        </is>
      </c>
      <c r="E35" s="27" t="n"/>
      <c r="F35" s="27" t="n"/>
      <c r="G35" s="27" t="n"/>
      <c r="H35" s="27" t="n"/>
      <c r="I35" s="27" t="n"/>
      <c r="J35" s="27" t="n"/>
      <c r="K35" s="27" t="n"/>
      <c r="L35" s="27" t="n"/>
    </row>
    <row r="36">
      <c r="A36" s="29" t="inlineStr">
        <is>
          <t>WPPF ≤ 5% of disclosed NP</t>
        </is>
      </c>
      <c r="B36" s="29" t="inlineStr">
        <is>
          <t>Allowable</t>
        </is>
      </c>
      <c r="C36" s="29" t="inlineStr">
        <is>
          <t>s.49</t>
        </is>
      </c>
      <c r="D36" s="29" t="inlineStr">
        <is>
          <t>Excess add back.</t>
        </is>
      </c>
      <c r="E36" s="29" t="n"/>
      <c r="F36" s="29" t="n"/>
      <c r="G36" s="29" t="n"/>
      <c r="H36" s="29" t="n"/>
      <c r="I36" s="29" t="n"/>
      <c r="J36" s="29" t="n"/>
      <c r="K36" s="29" t="n"/>
      <c r="L36" s="29" t="n"/>
    </row>
    <row r="38" ht="20" customHeight="1">
      <c r="A38" s="23" t="inlineStr">
        <is>
          <t xml:space="preserve">  C   TAX RECONCILIATION  —  PROFIT AS PER ACCOUNTS → TAXABLE BUSINESS INCOME</t>
        </is>
      </c>
      <c r="B38" s="23" t="n"/>
      <c r="C38" s="23" t="n"/>
      <c r="D38" s="23" t="n"/>
      <c r="E38" s="23" t="n"/>
      <c r="F38" s="23" t="n"/>
      <c r="G38" s="23" t="n"/>
      <c r="H38" s="23" t="n"/>
      <c r="I38" s="23" t="n"/>
      <c r="J38" s="23" t="n"/>
      <c r="K38" s="23" t="n"/>
      <c r="L38" s="23" t="n"/>
    </row>
    <row r="39">
      <c r="A39" s="19" t="inlineStr">
        <is>
          <t>Turnover / receipts (for % limits)</t>
        </is>
      </c>
      <c r="B39" s="35" t="n">
        <v>12000000</v>
      </c>
    </row>
    <row r="40">
      <c r="A40" s="19" t="inlineStr">
        <is>
          <t>Net profit as per accounts (before income tax)</t>
        </is>
      </c>
      <c r="B40" s="35" t="n">
        <v>1850000</v>
      </c>
    </row>
    <row r="41">
      <c r="A41" s="34" t="inlineStr">
        <is>
          <t>Entertainment charged in the accounts</t>
        </is>
      </c>
      <c r="B41" s="35" t="n">
        <v>80000</v>
      </c>
    </row>
    <row r="42">
      <c r="A42" s="34" t="inlineStr">
        <is>
          <t>Income before entertainment (auto)</t>
        </is>
      </c>
      <c r="B42" s="37">
        <f>$B$40+$B$41</f>
        <v/>
      </c>
    </row>
    <row r="43">
      <c r="A43" s="34" t="inlineStr">
        <is>
          <t>Allowable entertainment (4% of first 10 lakh + 2% of rest)</t>
        </is>
      </c>
      <c r="B43" s="37">
        <f>MIN($B$42,1000000)*0.04+MAX($B$42-1000000,0)*0.02</f>
        <v/>
      </c>
    </row>
    <row r="44">
      <c r="A44" s="34" t="inlineStr">
        <is>
          <t>Entertainment disallowed</t>
        </is>
      </c>
      <c r="B44" s="37">
        <f>MAX($B$41-$B$43,0)</f>
        <v/>
      </c>
    </row>
    <row r="46" ht="16" customHeight="1">
      <c r="A46" s="42" t="inlineStr">
        <is>
          <t xml:space="preserve">  ADD: DISALLOWABLE / NON-DEDUCTIBLE ITEMS  (s.55)</t>
        </is>
      </c>
      <c r="B46" s="42" t="n"/>
      <c r="C46" s="42" t="n"/>
      <c r="D46" s="42" t="n"/>
      <c r="E46" s="42" t="n"/>
      <c r="F46" s="42" t="n"/>
      <c r="G46" s="42" t="n"/>
      <c r="H46" s="42" t="n"/>
      <c r="I46" s="42" t="n"/>
      <c r="J46" s="42" t="n"/>
      <c r="K46" s="42" t="n"/>
      <c r="L46" s="42" t="n"/>
    </row>
    <row r="47">
      <c r="A47" s="34" t="inlineStr">
        <is>
          <t>Accounting depreciation</t>
        </is>
      </c>
      <c r="B47" s="35" t="n">
        <v>220000</v>
      </c>
      <c r="C47" s="36" t="inlineStr">
        <is>
          <t>Disallowable</t>
        </is>
      </c>
    </row>
    <row r="48">
      <c r="A48" s="34" t="inlineStr">
        <is>
          <t>Personal expenses charged to P&amp;L</t>
        </is>
      </c>
      <c r="B48" s="35" t="n">
        <v>45000</v>
      </c>
      <c r="C48" s="36" t="inlineStr">
        <is>
          <t>Disallowable</t>
        </is>
      </c>
    </row>
    <row r="49">
      <c r="A49" s="34" t="inlineStr">
        <is>
          <t>Capital expenditure charged to P&amp;L</t>
        </is>
      </c>
      <c r="B49" s="35" t="n">
        <v>80000</v>
      </c>
      <c r="C49" s="36" t="inlineStr">
        <is>
          <t>Disallowable</t>
        </is>
      </c>
    </row>
    <row r="50">
      <c r="A50" s="34" t="inlineStr">
        <is>
          <t>General provision for bad debts / contingent liability</t>
        </is>
      </c>
      <c r="B50" s="35" t="n">
        <v>50000</v>
      </c>
      <c r="C50" s="36" t="inlineStr">
        <is>
          <t>Disallowable</t>
        </is>
      </c>
    </row>
    <row r="51">
      <c r="A51" s="34" t="inlineStr">
        <is>
          <t>Unapproved donation / non-business donation</t>
        </is>
      </c>
      <c r="B51" s="35" t="n">
        <v>30000</v>
      </c>
      <c r="C51" s="36" t="inlineStr">
        <is>
          <t>Disallowable</t>
        </is>
      </c>
    </row>
    <row r="52">
      <c r="A52" s="34" t="inlineStr">
        <is>
          <t>Fine / penalty / income-tax charged (if any)</t>
        </is>
      </c>
      <c r="B52" s="35" t="n">
        <v>10000</v>
      </c>
      <c r="C52" s="36" t="inlineStr">
        <is>
          <t>Disallowable</t>
        </is>
      </c>
    </row>
    <row r="53">
      <c r="A53" s="34" t="inlineStr">
        <is>
          <t>Salary paid otherwise than by bank transfer</t>
        </is>
      </c>
      <c r="B53" s="35" t="n">
        <v>25000</v>
      </c>
      <c r="C53" s="36" t="inlineStr">
        <is>
          <t>Disallowable</t>
        </is>
      </c>
    </row>
    <row r="54">
      <c r="A54" s="34" t="inlineStr">
        <is>
          <t>Rent paid otherwise than by bank transfer</t>
        </is>
      </c>
      <c r="B54" s="35" t="n">
        <v>60000</v>
      </c>
      <c r="C54" s="36" t="inlineStr">
        <is>
          <t>Disallowable</t>
        </is>
      </c>
    </row>
    <row r="55">
      <c r="A55" s="34" t="inlineStr">
        <is>
          <t>Other expense ≥ 50,000 paid otherwise than by bank transfer</t>
        </is>
      </c>
      <c r="B55" s="35" t="n">
        <v>70000</v>
      </c>
      <c r="C55" s="36" t="inlineStr">
        <is>
          <t>Disallowable</t>
        </is>
      </c>
    </row>
    <row r="56">
      <c r="A56" s="34" t="inlineStr">
        <is>
          <t>Unrealised foreign-exchange / fair-value loss</t>
        </is>
      </c>
      <c r="B56" s="35" t="n">
        <v>15000</v>
      </c>
      <c r="C56" s="36" t="inlineStr">
        <is>
          <t>Disallowable</t>
        </is>
      </c>
    </row>
    <row r="57">
      <c r="A57" s="34" t="inlineStr">
        <is>
          <t>Perquisite excess over BDT 1,000,000 per employee (employer)</t>
        </is>
      </c>
      <c r="B57" s="35" t="n">
        <v>0</v>
      </c>
      <c r="C57" s="36" t="inlineStr">
        <is>
          <t>Disallowable</t>
        </is>
      </c>
    </row>
    <row r="58">
      <c r="A58" s="34" t="inlineStr">
        <is>
          <t>Royalty / technical / HO / intra-group excess over 10% of NP</t>
        </is>
      </c>
      <c r="B58" s="35" t="n">
        <v>0</v>
      </c>
      <c r="C58" s="36" t="inlineStr">
        <is>
          <t>Disallowable</t>
        </is>
      </c>
    </row>
    <row r="59">
      <c r="A59" s="34" t="inlineStr">
        <is>
          <t>Foreign travel excess over 0.50% of turnover</t>
        </is>
      </c>
      <c r="B59" s="35" t="n">
        <v>0</v>
      </c>
      <c r="C59" s="36" t="inlineStr">
        <is>
          <t>Disallowable</t>
        </is>
      </c>
    </row>
    <row r="60">
      <c r="A60" s="34" t="inlineStr">
        <is>
          <t>Promotional expense (ex-advertisement) excess over 0.50% of TO</t>
        </is>
      </c>
      <c r="B60" s="35" t="n">
        <v>0</v>
      </c>
      <c r="C60" s="36" t="inlineStr">
        <is>
          <t>Disallowable</t>
        </is>
      </c>
    </row>
    <row r="61">
      <c r="A61" s="34" t="inlineStr">
        <is>
          <t>Other s.55 disallowance (describe in notes)</t>
        </is>
      </c>
      <c r="B61" s="35" t="n">
        <v>0</v>
      </c>
      <c r="C61" s="36" t="inlineStr">
        <is>
          <t>Disallowable</t>
        </is>
      </c>
    </row>
    <row r="62">
      <c r="A62" s="19" t="inlineStr">
        <is>
          <t>Subtotal — itemised add-backs</t>
        </is>
      </c>
      <c r="B62" s="37">
        <f>SUM(B47:B61)</f>
        <v/>
      </c>
    </row>
    <row r="63">
      <c r="A63" s="19" t="inlineStr">
        <is>
          <t>Add: entertainment disallowed (from calculator)</t>
        </is>
      </c>
      <c r="B63" s="37">
        <f>$B$44</f>
        <v/>
      </c>
    </row>
    <row r="64">
      <c r="A64" s="61" t="inlineStr">
        <is>
          <t>TOTAL ADD-BACKS</t>
        </is>
      </c>
      <c r="B64" s="37">
        <f>$B$62+$B$44</f>
        <v/>
      </c>
    </row>
    <row r="66" ht="16" customHeight="1">
      <c r="A66" s="42" t="inlineStr">
        <is>
          <t xml:space="preserve">  LESS: ALLOWABLE ADJUSTMENTS / INCOME TAXED UNDER ANOTHER HEAD</t>
        </is>
      </c>
      <c r="B66" s="42" t="n"/>
      <c r="C66" s="42" t="n"/>
      <c r="D66" s="42" t="n"/>
      <c r="E66" s="42" t="n"/>
      <c r="F66" s="42" t="n"/>
      <c r="G66" s="42" t="n"/>
      <c r="H66" s="42" t="n"/>
      <c r="I66" s="42" t="n"/>
      <c r="J66" s="42" t="n"/>
      <c r="K66" s="42" t="n"/>
      <c r="L66" s="42" t="n"/>
    </row>
    <row r="67">
      <c r="A67" s="34" t="inlineStr">
        <is>
          <t>Tax depreciation (3rd Schedule)</t>
        </is>
      </c>
      <c r="B67" s="35" t="n">
        <v>180000</v>
      </c>
    </row>
    <row r="68">
      <c r="A68" s="34" t="inlineStr">
        <is>
          <t>Income credited in P&amp;L but taxable under Financial Assets</t>
        </is>
      </c>
      <c r="B68" s="35" t="n">
        <v>0</v>
      </c>
    </row>
    <row r="69">
      <c r="A69" s="34" t="inlineStr">
        <is>
          <t>Income credited in P&amp;L but taxable under Rent</t>
        </is>
      </c>
      <c r="B69" s="35" t="n">
        <v>0</v>
      </c>
    </row>
    <row r="70">
      <c r="A70" s="34" t="inlineStr">
        <is>
          <t>Income credited in P&amp;L but taxable as Capital Gain</t>
        </is>
      </c>
      <c r="B70" s="35" t="n">
        <v>0</v>
      </c>
    </row>
    <row r="71">
      <c r="A71" s="34" t="inlineStr">
        <is>
          <t>Allowable expense not charged in accounts</t>
        </is>
      </c>
      <c r="B71" s="35" t="n">
        <v>0</v>
      </c>
    </row>
    <row r="72">
      <c r="A72" s="34" t="inlineStr">
        <is>
          <t>Specific bad debt written off (if not already charged, deduct here)</t>
        </is>
      </c>
      <c r="B72" s="35" t="n">
        <v>0</v>
      </c>
    </row>
    <row r="73">
      <c r="A73" s="34" t="inlineStr">
        <is>
          <t>Other allowable deduction</t>
        </is>
      </c>
      <c r="B73" s="35" t="n">
        <v>0</v>
      </c>
    </row>
    <row r="74">
      <c r="A74" s="19" t="inlineStr">
        <is>
          <t>TOTAL DEDUCTIONS FROM ACCOUNTING PROFIT</t>
        </is>
      </c>
      <c r="B74" s="37">
        <f>SUM(B67:B73)</f>
        <v/>
      </c>
    </row>
    <row r="76">
      <c r="A76" s="45" t="inlineStr">
        <is>
          <t>TAXABLE INCOME FROM BUSINESS</t>
        </is>
      </c>
      <c r="B76" s="46">
        <f>$B$40+$B$64-$B$74</f>
        <v/>
      </c>
    </row>
    <row r="77">
      <c r="A77" s="34" t="inlineStr">
        <is>
          <t>Memo: special business income (s.56) = s.55 add-backs other than depreciation substitution</t>
        </is>
      </c>
      <c r="B77" s="37">
        <f>$B$64-B47</f>
        <v/>
      </c>
      <c r="C77" s="38" t="inlineStr">
        <is>
          <t>Memo only. Already inside taxable business income via add-backs. Do not add again on the Home sheet.</t>
        </is>
      </c>
      <c r="D77" s="21" t="n"/>
      <c r="E77" s="21" t="n"/>
      <c r="F77" s="21" t="n"/>
      <c r="G77" s="21" t="n"/>
      <c r="H77" s="22" t="n"/>
    </row>
    <row r="79" ht="20" customHeight="1">
      <c r="A79" s="23" t="inlineStr">
        <is>
          <t xml:space="preserve">  D   TAX-TREATMENT TABLE</t>
        </is>
      </c>
      <c r="B79" s="23" t="n"/>
      <c r="C79" s="23" t="n"/>
      <c r="D79" s="23" t="n"/>
      <c r="E79" s="23" t="n"/>
      <c r="F79" s="23" t="n"/>
      <c r="G79" s="23" t="n"/>
      <c r="H79" s="23" t="n"/>
      <c r="I79" s="23" t="n"/>
      <c r="J79" s="23" t="n"/>
      <c r="K79" s="23" t="n"/>
      <c r="L79" s="23" t="n"/>
    </row>
    <row r="80" ht="28" customHeight="1">
      <c r="A80" s="47" t="inlineStr">
        <is>
          <t>Income item</t>
        </is>
      </c>
      <c r="B80" s="47" t="inlineStr">
        <is>
          <t>Gross amount</t>
        </is>
      </c>
      <c r="C80" s="47" t="inlineStr">
        <is>
          <t>Taxable amount</t>
        </is>
      </c>
      <c r="D80" s="47" t="inlineStr">
        <is>
          <t>Exempt amount</t>
        </is>
      </c>
      <c r="E80" s="47" t="inlineStr">
        <is>
          <t>Deduction / adjustment</t>
        </is>
      </c>
      <c r="F80" s="47" t="inlineStr">
        <is>
          <t>Net taxable amount</t>
        </is>
      </c>
      <c r="G80" s="47" t="inlineStr">
        <is>
          <t>Relevant provision</t>
        </is>
      </c>
      <c r="H80" s="47" t="inlineStr">
        <is>
          <t>Explanation</t>
        </is>
      </c>
      <c r="I80" s="47" t="inlineStr"/>
      <c r="J80" s="47" t="inlineStr"/>
      <c r="K80" s="47" t="inlineStr"/>
      <c r="L80" s="47" t="inlineStr"/>
    </row>
    <row r="81">
      <c r="A81" s="34" t="inlineStr">
        <is>
          <t>Profit as per accounts ± tax adjustments</t>
        </is>
      </c>
      <c r="B81" s="37">
        <f>$B$40</f>
        <v/>
      </c>
      <c r="C81" s="37">
        <f>$B$76</f>
        <v/>
      </c>
      <c r="D81" s="37" t="n">
        <v>0</v>
      </c>
      <c r="E81" s="37">
        <f>$B$64-$B$74</f>
        <v/>
      </c>
      <c r="F81" s="37">
        <f>$B$76</f>
        <v/>
      </c>
      <c r="G81" t="inlineStr">
        <is>
          <t>ss.45–56</t>
        </is>
      </c>
      <c r="H81" t="inlineStr">
        <is>
          <t>Reconciliation from accounting profit</t>
        </is>
      </c>
    </row>
    <row r="83" ht="20" customHeight="1">
      <c r="A83" s="23" t="inlineStr">
        <is>
          <t xml:space="preserve">  E   WORKED EXAMPLE  —  Mr. Md. Karim Rahman (sole-prop trading)</t>
        </is>
      </c>
      <c r="B83" s="23" t="n"/>
      <c r="C83" s="23" t="n"/>
      <c r="D83" s="23" t="n"/>
      <c r="E83" s="23" t="n"/>
      <c r="F83" s="23" t="n"/>
      <c r="G83" s="23" t="n"/>
      <c r="H83" s="23" t="n"/>
      <c r="I83" s="23" t="n"/>
      <c r="J83" s="23" t="n"/>
      <c r="K83" s="23" t="n"/>
      <c r="L83" s="23" t="n"/>
    </row>
    <row r="84" ht="56" customHeight="1">
      <c r="A84" s="32" t="inlineStr">
        <is>
          <t>STEP 1 — FACTS. Turnover 12,000,000. Net profit (before tax) 1,850,000 after charging: accounting depreciation 220,000; personal 45,000; capital furniture 80,000; general provision 50,000; entertainment 80,000; unapproved donation 30,000; penalty 10,000; cash salary 25,000; cash rent 60,000; cash purchases 70,000; unrealised FX loss 15,000. Tax depreciation (3rd Schedule) is 180,000. Specific bad debt of 20,000 was already charged and is allowable (no add-back). Realised FX loss 8,000 was charged and is allowable.</t>
        </is>
      </c>
      <c r="B84" s="33" t="n"/>
      <c r="C84" s="33" t="n"/>
      <c r="D84" s="33" t="n"/>
      <c r="E84" s="33" t="n"/>
      <c r="F84" s="33" t="n"/>
      <c r="G84" s="33" t="n"/>
      <c r="H84" s="33" t="n"/>
      <c r="I84" s="33" t="n"/>
      <c r="J84" s="33" t="n"/>
      <c r="K84" s="33" t="n"/>
      <c r="L84" s="33" t="n"/>
    </row>
    <row r="85" ht="44" customHeight="1">
      <c r="A85" s="48" t="inlineStr">
        <is>
          <t>STEP 2–4. Entertainment base = 1,850,000 + 80,000 = 1,930,000. Allowable = 4%×1,000,000 + 2%×930,000 = 58,600. Disallow 21,400. Add-backs = 220,000+45,000+80,000+50,000+30,000+10,000+25,000+60,000+70,000+15,000+21,400 = 626,400. Less tax depreciation 180,000. TAXABLE BUSINESS INCOME = 1,850,000 + 626,400 − 180,000 = 2,296,400.</t>
        </is>
      </c>
      <c r="B85" s="49" t="n"/>
      <c r="C85" s="49" t="n"/>
      <c r="D85" s="49" t="n"/>
      <c r="E85" s="49" t="n"/>
      <c r="F85" s="49" t="n"/>
      <c r="G85" s="49" t="n"/>
      <c r="H85" s="49" t="n"/>
      <c r="I85" s="49" t="n"/>
      <c r="J85" s="49" t="n"/>
      <c r="K85" s="49" t="n"/>
      <c r="L85" s="49" t="n"/>
    </row>
    <row r="86">
      <c r="A86" s="19" t="inlineStr">
        <is>
          <t>Taxable business income (live)</t>
        </is>
      </c>
      <c r="B86" s="37">
        <f>$B$76</f>
        <v/>
      </c>
    </row>
    <row r="88" ht="36" customHeight="1">
      <c r="A88" s="52" t="inlineStr">
        <is>
          <t>STEP 5 — WHY. ICAB wants the reconciliation, not a re-drafted P&amp;L. Personal, capital, provisions, cash payments and excess entertainment are the marks-rich add-backs. Substituting tax depreciation is compulsory — leaving accounting depreciation in place is a common fail. s.56 is noted as a memo; because there is no loss to set off, adding back once is enough.</t>
        </is>
      </c>
      <c r="B88" s="53" t="n"/>
      <c r="C88" s="53" t="n"/>
      <c r="D88" s="53" t="n"/>
      <c r="E88" s="53" t="n"/>
      <c r="F88" s="53" t="n"/>
      <c r="G88" s="53" t="n"/>
      <c r="H88" s="53" t="n"/>
      <c r="I88" s="53" t="n"/>
      <c r="J88" s="53" t="n"/>
      <c r="K88" s="53" t="n"/>
      <c r="L88" s="53" t="n"/>
    </row>
    <row r="90" ht="20" customHeight="1">
      <c r="A90" s="23" t="inlineStr">
        <is>
          <t xml:space="preserve">  F   ICAB EXAM TIPS</t>
        </is>
      </c>
      <c r="B90" s="23" t="n"/>
      <c r="C90" s="23" t="n"/>
      <c r="D90" s="23" t="n"/>
      <c r="E90" s="23" t="n"/>
      <c r="F90" s="23" t="n"/>
      <c r="G90" s="23" t="n"/>
      <c r="H90" s="23" t="n"/>
      <c r="I90" s="23" t="n"/>
      <c r="J90" s="23" t="n"/>
      <c r="K90" s="23" t="n"/>
      <c r="L90" s="23" t="n"/>
    </row>
    <row r="91" ht="26" customHeight="1">
      <c r="A91" s="52" t="inlineStr">
        <is>
          <t>1.  Always start from 'Net profit as per accounts' and reconcile. Do not rebuild the profit from turnover unless accounts are unreliable (s.75).</t>
        </is>
      </c>
      <c r="B91" s="53" t="n"/>
      <c r="C91" s="53" t="n"/>
      <c r="D91" s="53" t="n"/>
      <c r="E91" s="53" t="n"/>
      <c r="F91" s="53" t="n"/>
      <c r="G91" s="53" t="n"/>
      <c r="H91" s="53" t="n"/>
      <c r="I91" s="53" t="n"/>
      <c r="J91" s="53" t="n"/>
      <c r="K91" s="53" t="n"/>
      <c r="L91" s="53" t="n"/>
    </row>
    <row r="92" ht="26" customHeight="1">
      <c r="A92" s="54" t="inlineStr">
        <is>
          <t>2.  Entertainment limit is on income BEFORE entertainment, not on turnover (promotion/foreign travel use turnover).</t>
        </is>
      </c>
      <c r="B92" s="55" t="n"/>
      <c r="C92" s="55" t="n"/>
      <c r="D92" s="55" t="n"/>
      <c r="E92" s="55" t="n"/>
      <c r="F92" s="55" t="n"/>
      <c r="G92" s="55" t="n"/>
      <c r="H92" s="55" t="n"/>
      <c r="I92" s="55" t="n"/>
      <c r="J92" s="55" t="n"/>
      <c r="K92" s="55" t="n"/>
      <c r="L92" s="55" t="n"/>
    </row>
    <row r="93" ht="26" customHeight="1">
      <c r="A93" s="52" t="inlineStr">
        <is>
          <t>3.  Cash salary and cash rent are 100% disallowed — there is no 'small amount' exception in the usual s.55 wording.</t>
        </is>
      </c>
      <c r="B93" s="53" t="n"/>
      <c r="C93" s="53" t="n"/>
      <c r="D93" s="53" t="n"/>
      <c r="E93" s="53" t="n"/>
      <c r="F93" s="53" t="n"/>
      <c r="G93" s="53" t="n"/>
      <c r="H93" s="53" t="n"/>
      <c r="I93" s="53" t="n"/>
      <c r="J93" s="53" t="n"/>
      <c r="K93" s="53" t="n"/>
      <c r="L93" s="53" t="n"/>
    </row>
    <row r="94" ht="26" customHeight="1">
      <c r="A94" s="54" t="inlineStr">
        <is>
          <t>4.  Perquisite cap of BDT 10 lakh is an employer disallowance. The employee is still taxed on the full s.33 value.</t>
        </is>
      </c>
      <c r="B94" s="55" t="n"/>
      <c r="C94" s="55" t="n"/>
      <c r="D94" s="55" t="n"/>
      <c r="E94" s="55" t="n"/>
      <c r="F94" s="55" t="n"/>
      <c r="G94" s="55" t="n"/>
      <c r="H94" s="55" t="n"/>
      <c r="I94" s="55" t="n"/>
      <c r="J94" s="55" t="n"/>
      <c r="K94" s="55" t="n"/>
      <c r="L94" s="55" t="n"/>
    </row>
    <row r="95" ht="26" customHeight="1">
      <c r="A95" s="52" t="inlineStr">
        <is>
          <t>5.  If FDR interest sits in 'other income' on the P&amp;L, remove it here and tax it under Financial Assets.</t>
        </is>
      </c>
      <c r="B95" s="53" t="n"/>
      <c r="C95" s="53" t="n"/>
      <c r="D95" s="53" t="n"/>
      <c r="E95" s="53" t="n"/>
      <c r="F95" s="53" t="n"/>
      <c r="G95" s="53" t="n"/>
      <c r="H95" s="53" t="n"/>
      <c r="I95" s="53" t="n"/>
      <c r="J95" s="53" t="n"/>
      <c r="K95" s="53" t="n"/>
      <c r="L95" s="53" t="n"/>
    </row>
    <row r="96" ht="26" customHeight="1">
      <c r="A96" s="54" t="inlineStr">
        <is>
          <t>6.  Unrealised losses never reduce taxable business income.</t>
        </is>
      </c>
      <c r="B96" s="55" t="n"/>
      <c r="C96" s="55" t="n"/>
      <c r="D96" s="55" t="n"/>
      <c r="E96" s="55" t="n"/>
      <c r="F96" s="55" t="n"/>
      <c r="G96" s="55" t="n"/>
      <c r="H96" s="55" t="n"/>
      <c r="I96" s="55" t="n"/>
      <c r="J96" s="55" t="n"/>
      <c r="K96" s="55" t="n"/>
      <c r="L96" s="55" t="n"/>
    </row>
    <row r="97" ht="26" customHeight="1">
      <c r="A97" s="52" t="inlineStr">
        <is>
          <t>7.  Related-party rent or salary still needs bank transfer and substance; transfer-pricing is a separate discussion if the question is a company.</t>
        </is>
      </c>
      <c r="B97" s="53" t="n"/>
      <c r="C97" s="53" t="n"/>
      <c r="D97" s="53" t="n"/>
      <c r="E97" s="53" t="n"/>
      <c r="F97" s="53" t="n"/>
      <c r="G97" s="53" t="n"/>
      <c r="H97" s="53" t="n"/>
      <c r="I97" s="53" t="n"/>
      <c r="J97" s="53" t="n"/>
      <c r="K97" s="53" t="n"/>
      <c r="L97" s="53" t="n"/>
    </row>
    <row r="98" ht="26" customHeight="1">
      <c r="A98" s="54" t="inlineStr">
        <is>
          <t>8.  Show s.56 as a memo if asked; never add it on top of an already-adjusted taxable profit.</t>
        </is>
      </c>
      <c r="B98" s="55" t="n"/>
      <c r="C98" s="55" t="n"/>
      <c r="D98" s="55" t="n"/>
      <c r="E98" s="55" t="n"/>
      <c r="F98" s="55" t="n"/>
      <c r="G98" s="55" t="n"/>
      <c r="H98" s="55" t="n"/>
      <c r="I98" s="55" t="n"/>
      <c r="J98" s="55" t="n"/>
      <c r="K98" s="55" t="n"/>
      <c r="L98" s="55" t="n"/>
    </row>
    <row r="99" ht="26" customHeight="1">
      <c r="A99" s="52" t="inlineStr">
        <is>
          <t>9.  Speculation business (s.48) cannot be mixed with regular business — keep a separate working.</t>
        </is>
      </c>
      <c r="B99" s="53" t="n"/>
      <c r="C99" s="53" t="n"/>
      <c r="D99" s="53" t="n"/>
      <c r="E99" s="53" t="n"/>
      <c r="F99" s="53" t="n"/>
      <c r="G99" s="53" t="n"/>
      <c r="H99" s="53" t="n"/>
      <c r="I99" s="53" t="n"/>
      <c r="J99" s="53" t="n"/>
      <c r="K99" s="53" t="n"/>
      <c r="L99" s="53" t="n"/>
    </row>
    <row r="100" ht="26" customHeight="1">
      <c r="A100" s="54" t="inlineStr">
        <is>
          <t>10.  Losses: business loss generally cannot be set off against salary (s.70 — VERIFY the current set-off table) and is carried forward 6 years.</t>
        </is>
      </c>
      <c r="B100" s="55" t="n"/>
      <c r="C100" s="55" t="n"/>
      <c r="D100" s="55" t="n"/>
      <c r="E100" s="55" t="n"/>
      <c r="F100" s="55" t="n"/>
      <c r="G100" s="55" t="n"/>
      <c r="H100" s="55" t="n"/>
      <c r="I100" s="55" t="n"/>
      <c r="J100" s="55" t="n"/>
      <c r="K100" s="55" t="n"/>
      <c r="L100" s="55" t="n"/>
    </row>
    <row r="102" ht="20" customHeight="1">
      <c r="A102" s="23" t="inlineStr">
        <is>
          <t xml:space="preserve">  G   ASSUMPTIONS / NOTES</t>
        </is>
      </c>
      <c r="B102" s="23" t="n"/>
      <c r="C102" s="23" t="n"/>
      <c r="D102" s="23" t="n"/>
      <c r="E102" s="23" t="n"/>
      <c r="F102" s="23" t="n"/>
      <c r="G102" s="23" t="n"/>
      <c r="H102" s="23" t="n"/>
      <c r="I102" s="23" t="n"/>
      <c r="J102" s="23" t="n"/>
      <c r="K102" s="23" t="n"/>
      <c r="L102" s="23" t="n"/>
    </row>
    <row r="103" ht="32" customHeight="1">
      <c r="A103" s="56" t="inlineStr">
        <is>
          <t>1.  Cash-payment threshold of BDT 50,000 is the commonly cited figure — VERIFY s.55 of your reprint.</t>
        </is>
      </c>
      <c r="B103" s="57" t="n"/>
      <c r="C103" s="57" t="n"/>
      <c r="D103" s="57" t="n"/>
      <c r="E103" s="57" t="n"/>
      <c r="F103" s="57" t="n"/>
      <c r="G103" s="57" t="n"/>
      <c r="H103" s="57" t="n"/>
      <c r="I103" s="57" t="n"/>
      <c r="J103" s="57" t="n"/>
      <c r="K103" s="57" t="n"/>
      <c r="L103" s="57" t="n"/>
    </row>
    <row r="104" ht="32" customHeight="1">
      <c r="A104" s="56" t="inlineStr">
        <is>
          <t>2.  Entertainment 4%/2% follows the long-standing rule restated in ITA 2023 commentaries. If your manual prints a different table, overwrite the formula.</t>
        </is>
      </c>
      <c r="B104" s="57" t="n"/>
      <c r="C104" s="57" t="n"/>
      <c r="D104" s="57" t="n"/>
      <c r="E104" s="57" t="n"/>
      <c r="F104" s="57" t="n"/>
      <c r="G104" s="57" t="n"/>
      <c r="H104" s="57" t="n"/>
      <c r="I104" s="57" t="n"/>
      <c r="J104" s="57" t="n"/>
      <c r="K104" s="57" t="n"/>
      <c r="L104" s="57" t="n"/>
    </row>
    <row r="105" ht="32" customHeight="1">
      <c r="A105" s="56" t="inlineStr">
        <is>
          <t>3.  Tax depreciation rates are in the 3rd Schedule (buildings, plant, vehicles, etc.). The example uses a given figure rather than a full asset register.</t>
        </is>
      </c>
      <c r="B105" s="57" t="n"/>
      <c r="C105" s="57" t="n"/>
      <c r="D105" s="57" t="n"/>
      <c r="E105" s="57" t="n"/>
      <c r="F105" s="57" t="n"/>
      <c r="G105" s="57" t="n"/>
      <c r="H105" s="57" t="n"/>
      <c r="I105" s="57" t="n"/>
      <c r="J105" s="57" t="n"/>
      <c r="K105" s="57" t="n"/>
      <c r="L105" s="57" t="n"/>
    </row>
    <row r="106" ht="32" customHeight="1">
      <c r="A106" s="56" t="inlineStr">
        <is>
          <t>4.  Default NP is before income tax, so no add-back of current-tax expense is required unless you charge tax in the NP figure.</t>
        </is>
      </c>
      <c r="B106" s="57" t="n"/>
      <c r="C106" s="57" t="n"/>
      <c r="D106" s="57" t="n"/>
      <c r="E106" s="57" t="n"/>
      <c r="F106" s="57" t="n"/>
      <c r="G106" s="57" t="n"/>
      <c r="H106" s="57" t="n"/>
      <c r="I106" s="57" t="n"/>
      <c r="J106" s="57" t="n"/>
      <c r="K106" s="57" t="n"/>
      <c r="L106" s="57" t="n"/>
    </row>
    <row r="108" ht="20" customHeight="1">
      <c r="A108" s="23" t="inlineStr">
        <is>
          <t xml:space="preserve">  H   LEGAL REFERENCES</t>
        </is>
      </c>
      <c r="B108" s="23" t="n"/>
      <c r="C108" s="23" t="n"/>
      <c r="D108" s="23" t="n"/>
      <c r="E108" s="23" t="n"/>
      <c r="F108" s="23" t="n"/>
      <c r="G108" s="23" t="n"/>
      <c r="H108" s="23" t="n"/>
      <c r="I108" s="23" t="n"/>
      <c r="J108" s="23" t="n"/>
      <c r="K108" s="23" t="n"/>
      <c r="L108" s="23" t="n"/>
    </row>
    <row r="109" ht="16" customHeight="1">
      <c r="A109" s="58" t="inlineStr">
        <is>
          <t>•  ITA 2023 ss.45–56 (Chapter V).</t>
        </is>
      </c>
    </row>
    <row r="110" ht="16" customHeight="1">
      <c r="A110" s="58" t="inlineStr">
        <is>
          <t>•  s.49 general deductions; s.51 bad debts; s.52–53 interest; s.54 conditions; s.55 disallowances; s.56 special business income.</t>
        </is>
      </c>
    </row>
    <row r="111" ht="16" customHeight="1">
      <c r="A111" s="58" t="inlineStr">
        <is>
          <t>•  Third Schedule — depreciation.</t>
        </is>
      </c>
    </row>
    <row r="112" ht="16" customHeight="1">
      <c r="A112" s="58" t="inlineStr">
        <is>
          <t>•  s.70–71 set-off and carry-forward; s.72 method of accounting.</t>
        </is>
      </c>
    </row>
  </sheetData>
  <mergeCells count="61">
    <mergeCell ref="D21:L21"/>
    <mergeCell ref="D27:L27"/>
    <mergeCell ref="G6:I6"/>
    <mergeCell ref="A90:L90"/>
    <mergeCell ref="A108:L108"/>
    <mergeCell ref="A99:L99"/>
    <mergeCell ref="D32:L32"/>
    <mergeCell ref="A46:L46"/>
    <mergeCell ref="A84:L84"/>
    <mergeCell ref="A66:L66"/>
    <mergeCell ref="A105:L105"/>
    <mergeCell ref="A12:L12"/>
    <mergeCell ref="A95:L95"/>
    <mergeCell ref="A2:L2"/>
    <mergeCell ref="A104:L104"/>
    <mergeCell ref="D28:L28"/>
    <mergeCell ref="A85:L85"/>
    <mergeCell ref="A8:L8"/>
    <mergeCell ref="A14:L14"/>
    <mergeCell ref="A97:L97"/>
    <mergeCell ref="A17:L17"/>
    <mergeCell ref="A106:L106"/>
    <mergeCell ref="D25:L25"/>
    <mergeCell ref="A91:L91"/>
    <mergeCell ref="A109:L109"/>
    <mergeCell ref="A100:L100"/>
    <mergeCell ref="D24:L24"/>
    <mergeCell ref="D30:L30"/>
    <mergeCell ref="A38:L38"/>
    <mergeCell ref="A96:L96"/>
    <mergeCell ref="D33:L33"/>
    <mergeCell ref="A10:L10"/>
    <mergeCell ref="D29:L29"/>
    <mergeCell ref="A112:L112"/>
    <mergeCell ref="D23:L23"/>
    <mergeCell ref="A93:L93"/>
    <mergeCell ref="A13:L13"/>
    <mergeCell ref="A111:L111"/>
    <mergeCell ref="A102:L102"/>
    <mergeCell ref="D26:L26"/>
    <mergeCell ref="A9:L9"/>
    <mergeCell ref="D35:L35"/>
    <mergeCell ref="D20:L20"/>
    <mergeCell ref="A83:L83"/>
    <mergeCell ref="C77:H77"/>
    <mergeCell ref="C6:E6"/>
    <mergeCell ref="A92:L92"/>
    <mergeCell ref="A15:L15"/>
    <mergeCell ref="D19:L19"/>
    <mergeCell ref="D34:L34"/>
    <mergeCell ref="A98:L98"/>
    <mergeCell ref="A11:L11"/>
    <mergeCell ref="A1:L1"/>
    <mergeCell ref="A94:L94"/>
    <mergeCell ref="D22:L22"/>
    <mergeCell ref="A103:L103"/>
    <mergeCell ref="D31:L31"/>
    <mergeCell ref="A88:L88"/>
    <mergeCell ref="A110:L110"/>
    <mergeCell ref="A79:L79"/>
    <mergeCell ref="D36:L36"/>
  </mergeCells>
  <dataValidations count="1">
    <dataValidation sqref="C47:C61" showDropDown="0" showInputMessage="0" showErrorMessage="0" allowBlank="1" errorTitle="Invalid entry" error="Select a value from the list" promptTitle="Input" prompt="Select from the list" type="list">
      <formula1>"Disallowable,Partially Allowable,Allowable"</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Business</oddHeader>
    <oddFooter>&amp;L&amp;8Bangladesh Income Tax Act, 2023  |  For study / exam practice — verify Finance Act of the exam year&amp;R&amp;8Page &amp;P of &amp;N</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A1:L83"/>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CAPITAL GAIN  ·  ALL AMOUNTS IN BDT (৳)</t>
        </is>
      </c>
      <c r="B1" s="2" t="n"/>
      <c r="C1" s="2" t="n"/>
      <c r="D1" s="2" t="n"/>
      <c r="E1" s="2" t="n"/>
      <c r="F1" s="2" t="n"/>
      <c r="G1" s="2" t="n"/>
      <c r="H1" s="2" t="n"/>
      <c r="I1" s="2" t="n"/>
      <c r="J1" s="2" t="n"/>
      <c r="K1" s="2" t="n"/>
      <c r="L1" s="2" t="n"/>
    </row>
    <row r="2" ht="16" customHeight="1">
      <c r="A2" s="3" t="inlineStr">
        <is>
          <t>ITA 2023  Chapter VI  ss.57–61  |  Consideration = higher of actual and FMV  |  Minus cost of acquisition, improvement and transfer expenses  |  Holding period drives the rate</t>
        </is>
      </c>
      <c r="B2" s="4" t="n"/>
      <c r="C2" s="4" t="n"/>
      <c r="D2" s="4" t="n"/>
      <c r="E2" s="4" t="n"/>
      <c r="F2" s="4" t="n"/>
      <c r="G2" s="4" t="n"/>
      <c r="H2" s="4" t="n"/>
      <c r="I2" s="4" t="n"/>
      <c r="J2" s="4" t="n"/>
      <c r="K2" s="4" t="n"/>
      <c r="L2" s="4" t="n"/>
    </row>
    <row r="3" ht="18" customHeight="1">
      <c r="A3" s="5" t="inlineStr">
        <is>
          <t>HOME / Summary</t>
        </is>
      </c>
      <c r="B3" s="5" t="inlineStr">
        <is>
          <t>Employment</t>
        </is>
      </c>
      <c r="C3" s="5" t="inlineStr">
        <is>
          <t>Financial Assets</t>
        </is>
      </c>
      <c r="D3" s="5" t="inlineStr">
        <is>
          <t>Rent</t>
        </is>
      </c>
      <c r="E3" s="5" t="inlineStr">
        <is>
          <t>Agriculture</t>
        </is>
      </c>
      <c r="F3" s="5" t="inlineStr">
        <is>
          <t>Business</t>
        </is>
      </c>
      <c r="G3" s="6"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32" customHeight="1">
      <c r="A9" s="24" t="inlineStr">
        <is>
          <t>•  Definition: Capital gains are profits and gains from the transfer of a capital asset (s.57). Capital asset includes property of any kind, a business as a unit, and stocks/shares, but excludes stock-in-trade / consumables / raw materials and personal effects held exclusively for personal use (wearing apparel, jewellery, furniture, personal vehicles, etc. — read the exact s.2 definition in your reprint).</t>
        </is>
      </c>
      <c r="B9" s="25" t="n"/>
      <c r="C9" s="25" t="n"/>
      <c r="D9" s="25" t="n"/>
      <c r="E9" s="25" t="n"/>
      <c r="F9" s="25" t="n"/>
      <c r="G9" s="25" t="n"/>
      <c r="H9" s="25" t="n"/>
      <c r="I9" s="25" t="n"/>
      <c r="J9" s="25" t="n"/>
      <c r="K9" s="25" t="n"/>
      <c r="L9" s="25" t="n"/>
    </row>
    <row r="10" ht="32" customHeight="1">
      <c r="A10" s="24" t="inlineStr">
        <is>
          <t>•  Transfer includes sale, exchange, relinquishment, extinguishment of a right. It generally does NOT include gift, bequest, will, or certain liquidations / partitions. A gift received is therefore usually Other Sources (if taxable) rather than CG of the donor.</t>
        </is>
      </c>
      <c r="B10" s="25" t="n"/>
      <c r="C10" s="25" t="n"/>
      <c r="D10" s="25" t="n"/>
      <c r="E10" s="25" t="n"/>
      <c r="F10" s="25" t="n"/>
      <c r="G10" s="25" t="n"/>
      <c r="H10" s="25" t="n"/>
      <c r="I10" s="25" t="n"/>
      <c r="J10" s="25" t="n"/>
      <c r="K10" s="25" t="n"/>
      <c r="L10" s="25" t="n"/>
    </row>
    <row r="11" ht="32" customHeight="1">
      <c r="A11" s="24" t="inlineStr">
        <is>
          <t>•  Computation (s.58): take the HIGHER of full value of consideration and fair market value; deduct cost of acquisition, cost of improvement and expenditure wholly on the transfer. No indexation regime like India's s.48. s.60 limits deductions (including where TDS was required and not deducted).</t>
        </is>
      </c>
      <c r="B11" s="25" t="n"/>
      <c r="C11" s="25" t="n"/>
      <c r="D11" s="25" t="n"/>
      <c r="E11" s="25" t="n"/>
      <c r="F11" s="25" t="n"/>
      <c r="G11" s="25" t="n"/>
      <c r="H11" s="25" t="n"/>
      <c r="I11" s="25" t="n"/>
      <c r="J11" s="25" t="n"/>
      <c r="K11" s="25" t="n"/>
      <c r="L11" s="25" t="n"/>
    </row>
    <row r="12" ht="32" customHeight="1">
      <c r="A12" s="24" t="inlineStr">
        <is>
          <t>•  Rates (individual — VERIFY Seventh Schedule / Finance Act): held for not more than 5 years → generally regular slab (except listed shares, which are typically 15% if taxable at all). Held for more than 5 years → 15%, or tax deducted at registration under s.125 if higher (minimum tax, s.163). Listed-share CG of an ordinary investor is commonly exempt up to BDT 5 million (not sponsor / director / placement shares).</t>
        </is>
      </c>
      <c r="B12" s="25" t="n"/>
      <c r="C12" s="25" t="n"/>
      <c r="D12" s="25" t="n"/>
      <c r="E12" s="25" t="n"/>
      <c r="F12" s="25" t="n"/>
      <c r="G12" s="25" t="n"/>
      <c r="H12" s="25" t="n"/>
      <c r="I12" s="25" t="n"/>
      <c r="J12" s="25" t="n"/>
      <c r="K12" s="25" t="n"/>
      <c r="L12" s="25" t="n"/>
    </row>
    <row r="13" ht="32" customHeight="1">
      <c r="A13" s="24" t="inlineStr">
        <is>
          <t>•  Depreciable business/agri assets: excess of sale proceeds over WDV up to original cost is usually business/agri balancing charge; excess over original cost is capital gain (ss.41 / business equivalent). Do not put the whole surplus here.</t>
        </is>
      </c>
      <c r="B13" s="25" t="n"/>
      <c r="C13" s="25" t="n"/>
      <c r="D13" s="25" t="n"/>
      <c r="E13" s="25" t="n"/>
      <c r="F13" s="25" t="n"/>
      <c r="G13" s="25" t="n"/>
      <c r="H13" s="25" t="n"/>
      <c r="I13" s="25" t="n"/>
      <c r="J13" s="25" t="n"/>
      <c r="K13" s="25" t="n"/>
      <c r="L13" s="25" t="n"/>
    </row>
    <row r="14" ht="32" customHeight="1">
      <c r="A14" s="24" t="inlineStr">
        <is>
          <t>•  ICAB points: always compare consideration with FMV; always state the holding period; never net brokerage after tax; land registration TDS is a minimum tax on that gain, not a deduction from the gain.</t>
        </is>
      </c>
      <c r="B14" s="25" t="n"/>
      <c r="C14" s="25" t="n"/>
      <c r="D14" s="25" t="n"/>
      <c r="E14" s="25" t="n"/>
      <c r="F14" s="25" t="n"/>
      <c r="G14" s="25" t="n"/>
      <c r="H14" s="25" t="n"/>
      <c r="I14" s="25" t="n"/>
      <c r="J14" s="25" t="n"/>
      <c r="K14" s="25" t="n"/>
      <c r="L14" s="25" t="n"/>
    </row>
    <row r="16" ht="20" customHeight="1">
      <c r="A16" s="23" t="inlineStr">
        <is>
          <t xml:space="preserve">  B   TYPES OF INCOME  —  TAX TREATMENT</t>
        </is>
      </c>
      <c r="B16" s="23" t="n"/>
      <c r="C16" s="23" t="n"/>
      <c r="D16" s="23" t="n"/>
      <c r="E16" s="23" t="n"/>
      <c r="F16" s="23" t="n"/>
      <c r="G16" s="23" t="n"/>
      <c r="H16" s="23" t="n"/>
      <c r="I16" s="23" t="n"/>
      <c r="J16" s="23" t="n"/>
      <c r="K16" s="23" t="n"/>
      <c r="L16" s="23" t="n"/>
    </row>
    <row r="17" ht="28" customHeight="1">
      <c r="A17" s="26" t="inlineStr">
        <is>
          <t>Particular</t>
        </is>
      </c>
      <c r="B17" s="26" t="inlineStr">
        <is>
          <t>Tax treatment</t>
        </is>
      </c>
      <c r="C17" s="26" t="inlineStr">
        <is>
          <t>Relevant provision</t>
        </is>
      </c>
      <c r="D17" s="26" t="inlineStr">
        <is>
          <t>Example / exam note</t>
        </is>
      </c>
      <c r="E17" s="26" t="inlineStr"/>
      <c r="F17" s="26" t="inlineStr"/>
      <c r="G17" s="26" t="inlineStr"/>
      <c r="H17" s="26" t="inlineStr"/>
      <c r="I17" s="26" t="inlineStr"/>
      <c r="J17" s="26" t="inlineStr"/>
      <c r="K17" s="26" t="inlineStr"/>
      <c r="L17" s="26" t="inlineStr"/>
    </row>
    <row r="18">
      <c r="A18" s="27" t="inlineStr">
        <is>
          <t>Plot of land / building held &gt; 5 years</t>
        </is>
      </c>
      <c r="B18" s="27" t="inlineStr">
        <is>
          <t>CG @ 15% (or s.125 TDS if higher)</t>
        </is>
      </c>
      <c r="C18" s="27" t="inlineStr">
        <is>
          <t>s.58; Seventh Schedule</t>
        </is>
      </c>
      <c r="D18" s="27" t="inlineStr">
        <is>
          <t>Registration TDS is minimum tax.</t>
        </is>
      </c>
      <c r="E18" s="27" t="n"/>
      <c r="F18" s="27" t="n"/>
      <c r="G18" s="27" t="n"/>
      <c r="H18" s="27" t="n"/>
      <c r="I18" s="27" t="n"/>
      <c r="J18" s="27" t="n"/>
      <c r="K18" s="27" t="n"/>
      <c r="L18" s="27" t="n"/>
    </row>
    <row r="19">
      <c r="A19" s="29" t="inlineStr">
        <is>
          <t>Plot of land / building held ≤ 5 years</t>
        </is>
      </c>
      <c r="B19" s="29" t="inlineStr">
        <is>
          <t>CG at regular slab</t>
        </is>
      </c>
      <c r="C19" s="29" t="inlineStr">
        <is>
          <t>Seventh Schedule</t>
        </is>
      </c>
      <c r="D19" s="29" t="inlineStr">
        <is>
          <t>Not 15%.</t>
        </is>
      </c>
      <c r="E19" s="29" t="n"/>
      <c r="F19" s="29" t="n"/>
      <c r="G19" s="29" t="n"/>
      <c r="H19" s="29" t="n"/>
      <c r="I19" s="29" t="n"/>
      <c r="J19" s="29" t="n"/>
      <c r="K19" s="29" t="n"/>
      <c r="L19" s="29" t="n"/>
    </row>
    <row r="20">
      <c r="A20" s="27" t="inlineStr">
        <is>
          <t>Listed shares — ordinary investor, gain ≤ exemption cap</t>
        </is>
      </c>
      <c r="B20" s="27" t="inlineStr">
        <is>
          <t>Exempt</t>
        </is>
      </c>
      <c r="C20" s="27" t="inlineStr">
        <is>
          <t>Sixth Schedule — VERIFY</t>
        </is>
      </c>
      <c r="D20" s="27" t="inlineStr">
        <is>
          <t>Default cap P_ListedCGExempt.</t>
        </is>
      </c>
      <c r="E20" s="27" t="n"/>
      <c r="F20" s="27" t="n"/>
      <c r="G20" s="27" t="n"/>
      <c r="H20" s="27" t="n"/>
      <c r="I20" s="27" t="n"/>
      <c r="J20" s="27" t="n"/>
      <c r="K20" s="27" t="n"/>
      <c r="L20" s="27" t="n"/>
    </row>
    <row r="21">
      <c r="A21" s="29" t="inlineStr">
        <is>
          <t>Listed shares — sponsor / director / placement</t>
        </is>
      </c>
      <c r="B21" s="29" t="inlineStr">
        <is>
          <t>Taxable (special rate — VERIFY)</t>
        </is>
      </c>
      <c r="C21" s="29" t="inlineStr">
        <is>
          <t>SRO / Seventh Schedule</t>
        </is>
      </c>
      <c r="D21" s="29" t="inlineStr">
        <is>
          <t>Do not give the ordinary-investor exemption.</t>
        </is>
      </c>
      <c r="E21" s="29" t="n"/>
      <c r="F21" s="29" t="n"/>
      <c r="G21" s="29" t="n"/>
      <c r="H21" s="29" t="n"/>
      <c r="I21" s="29" t="n"/>
      <c r="J21" s="29" t="n"/>
      <c r="K21" s="29" t="n"/>
      <c r="L21" s="29" t="n"/>
    </row>
    <row r="22">
      <c r="A22" s="27" t="inlineStr">
        <is>
          <t>Unlisted shares</t>
        </is>
      </c>
      <c r="B22" s="27" t="inlineStr">
        <is>
          <t>CG; rate depends on holding period</t>
        </is>
      </c>
      <c r="C22" s="27" t="inlineStr">
        <is>
          <t>s.57–58</t>
        </is>
      </c>
      <c r="D22" s="27" t="inlineStr">
        <is>
          <t>Not the listed exemption.</t>
        </is>
      </c>
      <c r="E22" s="27" t="n"/>
      <c r="F22" s="27" t="n"/>
      <c r="G22" s="27" t="n"/>
      <c r="H22" s="27" t="n"/>
      <c r="I22" s="27" t="n"/>
      <c r="J22" s="27" t="n"/>
      <c r="K22" s="27" t="n"/>
      <c r="L22" s="27" t="n"/>
    </row>
    <row r="23">
      <c r="A23" s="29" t="inlineStr">
        <is>
          <t>Personal jewellery / furniture / private car</t>
        </is>
      </c>
      <c r="B23" s="29" t="inlineStr">
        <is>
          <t>Generally not a capital asset (personal effects)</t>
        </is>
      </c>
      <c r="C23" s="29" t="inlineStr">
        <is>
          <t>s.2 definition — VERIFY</t>
        </is>
      </c>
      <c r="D23" s="29" t="inlineStr">
        <is>
          <t>Do not compute CG unless the definition clearly includes it.</t>
        </is>
      </c>
      <c r="E23" s="29" t="n"/>
      <c r="F23" s="29" t="n"/>
      <c r="G23" s="29" t="n"/>
      <c r="H23" s="29" t="n"/>
      <c r="I23" s="29" t="n"/>
      <c r="J23" s="29" t="n"/>
      <c r="K23" s="29" t="n"/>
      <c r="L23" s="29" t="n"/>
    </row>
    <row r="24">
      <c r="A24" s="27" t="inlineStr">
        <is>
          <t>Stock-in-trade</t>
        </is>
      </c>
      <c r="B24" s="27" t="inlineStr">
        <is>
          <t>Business income, not CG</t>
        </is>
      </c>
      <c r="C24" s="27" t="inlineStr">
        <is>
          <t>s.2 / s.45</t>
        </is>
      </c>
      <c r="D24" s="27" t="inlineStr">
        <is>
          <t>Classification trap.</t>
        </is>
      </c>
      <c r="E24" s="27" t="n"/>
      <c r="F24" s="27" t="n"/>
      <c r="G24" s="27" t="n"/>
      <c r="H24" s="27" t="n"/>
      <c r="I24" s="27" t="n"/>
      <c r="J24" s="27" t="n"/>
      <c r="K24" s="27" t="n"/>
      <c r="L24" s="27" t="n"/>
    </row>
    <row r="25">
      <c r="A25" s="29" t="inlineStr">
        <is>
          <t>Gift / will / bequest (donor)</t>
        </is>
      </c>
      <c r="B25" s="29" t="inlineStr">
        <is>
          <t>Generally not a 'transfer' for CG</t>
        </is>
      </c>
      <c r="C25" s="29" t="inlineStr">
        <is>
          <t>s.57</t>
        </is>
      </c>
      <c r="D25" s="29" t="inlineStr">
        <is>
          <t>Donee may have Other Sources.</t>
        </is>
      </c>
      <c r="E25" s="29" t="n"/>
      <c r="F25" s="29" t="n"/>
      <c r="G25" s="29" t="n"/>
      <c r="H25" s="29" t="n"/>
      <c r="I25" s="29" t="n"/>
      <c r="J25" s="29" t="n"/>
      <c r="K25" s="29" t="n"/>
      <c r="L25" s="29" t="n"/>
    </row>
    <row r="26">
      <c r="A26" s="27" t="inlineStr">
        <is>
          <t>Balancing charge on depreciable asset up to original cost</t>
        </is>
      </c>
      <c r="B26" s="27" t="inlineStr">
        <is>
          <t>Business / agri, not CG</t>
        </is>
      </c>
      <c r="C26" s="27" t="inlineStr">
        <is>
          <t>s.41 / business chapter</t>
        </is>
      </c>
      <c r="D26" s="27" t="inlineStr">
        <is>
          <t>Only the slice above original cost is CG.</t>
        </is>
      </c>
      <c r="E26" s="27" t="n"/>
      <c r="F26" s="27" t="n"/>
      <c r="G26" s="27" t="n"/>
      <c r="H26" s="27" t="n"/>
      <c r="I26" s="27" t="n"/>
      <c r="J26" s="27" t="n"/>
      <c r="K26" s="27" t="n"/>
      <c r="L26" s="27" t="n"/>
    </row>
    <row r="28" ht="20" customHeight="1">
      <c r="A28" s="23" t="inlineStr">
        <is>
          <t xml:space="preserve">  C   COMPUTATION TEMPLATE  (up to 3 assets)</t>
        </is>
      </c>
      <c r="B28" s="23" t="n"/>
      <c r="C28" s="23" t="n"/>
      <c r="D28" s="23" t="n"/>
      <c r="E28" s="23" t="n"/>
      <c r="F28" s="23" t="n"/>
      <c r="G28" s="23" t="n"/>
      <c r="H28" s="23" t="n"/>
      <c r="I28" s="23" t="n"/>
      <c r="J28" s="23" t="n"/>
      <c r="K28" s="23" t="n"/>
      <c r="L28" s="23" t="n"/>
    </row>
    <row r="29" ht="28" customHeight="1">
      <c r="A29" s="26" t="inlineStr">
        <is>
          <t>Particulars</t>
        </is>
      </c>
      <c r="B29" s="26" t="inlineStr">
        <is>
          <t>Asset 1 — listed shares</t>
        </is>
      </c>
      <c r="C29" s="26" t="inlineStr">
        <is>
          <t>Asset 2 — plot of land</t>
        </is>
      </c>
      <c r="D29" s="26" t="inlineStr">
        <is>
          <t>Asset 3 (blank)</t>
        </is>
      </c>
      <c r="E29" s="26" t="inlineStr"/>
      <c r="F29" s="26" t="inlineStr"/>
      <c r="G29" s="26" t="inlineStr"/>
      <c r="H29" s="26" t="inlineStr"/>
      <c r="I29" s="26" t="inlineStr"/>
      <c r="J29" s="26" t="inlineStr"/>
      <c r="K29" s="26" t="inlineStr"/>
      <c r="L29" s="26" t="inlineStr"/>
    </row>
    <row r="30">
      <c r="A30" s="34" t="inlineStr">
        <is>
          <t>Description</t>
        </is>
      </c>
      <c r="B30" s="36" t="inlineStr">
        <is>
          <t>DSE listed ordinary shares</t>
        </is>
      </c>
      <c r="C30" s="36" t="inlineStr">
        <is>
          <t>Residential plot, Gazipur</t>
        </is>
      </c>
      <c r="D30" s="36" t="inlineStr"/>
    </row>
    <row r="31">
      <c r="A31" s="34" t="inlineStr">
        <is>
          <t>Date of acquisition (text)</t>
        </is>
      </c>
      <c r="B31" s="36" t="inlineStr">
        <is>
          <t>2019-02-10</t>
        </is>
      </c>
      <c r="C31" s="36" t="inlineStr">
        <is>
          <t>2018-04-01</t>
        </is>
      </c>
      <c r="D31" s="36" t="inlineStr"/>
    </row>
    <row r="32">
      <c r="A32" s="34" t="inlineStr">
        <is>
          <t>Date of transfer (text)</t>
        </is>
      </c>
      <c r="B32" s="36" t="inlineStr">
        <is>
          <t>2025-11-20</t>
        </is>
      </c>
      <c r="C32" s="36" t="inlineStr">
        <is>
          <t>2026-01-15</t>
        </is>
      </c>
      <c r="D32" s="36" t="inlineStr"/>
    </row>
    <row r="33">
      <c r="A33" s="34" t="inlineStr">
        <is>
          <t>Held more than 5 years?</t>
        </is>
      </c>
      <c r="B33" s="36" t="inlineStr">
        <is>
          <t>Yes</t>
        </is>
      </c>
      <c r="C33" s="36" t="inlineStr">
        <is>
          <t>Yes</t>
        </is>
      </c>
      <c r="D33" s="36" t="inlineStr">
        <is>
          <t>No</t>
        </is>
      </c>
    </row>
    <row r="34">
      <c r="A34" s="34" t="inlineStr">
        <is>
          <t>Listed share / unit?</t>
        </is>
      </c>
      <c r="B34" s="36" t="inlineStr">
        <is>
          <t>Yes</t>
        </is>
      </c>
      <c r="C34" s="36" t="inlineStr">
        <is>
          <t>No</t>
        </is>
      </c>
      <c r="D34" s="36" t="inlineStr">
        <is>
          <t>No</t>
        </is>
      </c>
    </row>
    <row r="35">
      <c r="A35" s="34" t="inlineStr">
        <is>
          <t>Sponsor / director / placement share?</t>
        </is>
      </c>
      <c r="B35" s="36" t="inlineStr">
        <is>
          <t>No</t>
        </is>
      </c>
      <c r="C35" s="36" t="inlineStr">
        <is>
          <t>No</t>
        </is>
      </c>
      <c r="D35" s="36" t="inlineStr">
        <is>
          <t>No</t>
        </is>
      </c>
    </row>
    <row r="36">
      <c r="A36" s="34" t="inlineStr">
        <is>
          <t>Personal effect / stock-in-trade? (exclude if Yes)</t>
        </is>
      </c>
      <c r="B36" s="36" t="inlineStr">
        <is>
          <t>No</t>
        </is>
      </c>
      <c r="C36" s="36" t="inlineStr">
        <is>
          <t>No</t>
        </is>
      </c>
      <c r="D36" s="36" t="inlineStr">
        <is>
          <t>No</t>
        </is>
      </c>
    </row>
    <row r="37">
      <c r="A37" s="34" t="inlineStr">
        <is>
          <t>Full value of consideration received</t>
        </is>
      </c>
      <c r="B37" s="35" t="n">
        <v>800000</v>
      </c>
      <c r="C37" s="35" t="n">
        <v>4500000</v>
      </c>
      <c r="D37" s="35" t="n">
        <v>0</v>
      </c>
    </row>
    <row r="38">
      <c r="A38" s="34" t="inlineStr">
        <is>
          <t>Fair market value on transfer date</t>
        </is>
      </c>
      <c r="B38" s="35" t="n">
        <v>790000</v>
      </c>
      <c r="C38" s="35" t="n">
        <v>4200000</v>
      </c>
      <c r="D38" s="35" t="n">
        <v>0</v>
      </c>
    </row>
    <row r="39">
      <c r="A39" s="34" t="inlineStr">
        <is>
          <t>Cost of acquisition</t>
        </is>
      </c>
      <c r="B39" s="35" t="n">
        <v>550000</v>
      </c>
      <c r="C39" s="35" t="n">
        <v>2000000</v>
      </c>
      <c r="D39" s="35" t="n">
        <v>0</v>
      </c>
    </row>
    <row r="40">
      <c r="A40" s="34" t="inlineStr">
        <is>
          <t>Cost of improvement</t>
        </is>
      </c>
      <c r="B40" s="35" t="n">
        <v>0</v>
      </c>
      <c r="C40" s="35" t="n">
        <v>150000</v>
      </c>
      <c r="D40" s="35" t="n">
        <v>0</v>
      </c>
    </row>
    <row r="41">
      <c r="A41" s="34" t="inlineStr">
        <is>
          <t>Transfer expenses (brokerage, registration, commission)</t>
        </is>
      </c>
      <c r="B41" s="35" t="n">
        <v>5000</v>
      </c>
      <c r="C41" s="35" t="n">
        <v>180000</v>
      </c>
      <c r="D41" s="35" t="n">
        <v>0</v>
      </c>
    </row>
    <row r="42">
      <c r="A42" s="34" t="inlineStr">
        <is>
          <t>TDS / tax at registration (memo)</t>
        </is>
      </c>
      <c r="B42" s="35" t="n">
        <v>0</v>
      </c>
      <c r="C42" s="35" t="n">
        <v>180000</v>
      </c>
      <c r="D42" s="35" t="n">
        <v>0</v>
      </c>
    </row>
    <row r="43">
      <c r="A43" s="19" t="inlineStr">
        <is>
          <t>Deemed consideration (higher of actual and FMV)</t>
        </is>
      </c>
      <c r="B43" s="37">
        <f>MAX(B37,B38)</f>
        <v/>
      </c>
      <c r="C43" s="37">
        <f>MAX(C37,C38)</f>
        <v/>
      </c>
      <c r="D43" s="37">
        <f>MAX(D37,D38)</f>
        <v/>
      </c>
    </row>
    <row r="44">
      <c r="A44" s="19" t="inlineStr">
        <is>
          <t>Capital gain / (loss) before exemption</t>
        </is>
      </c>
      <c r="B44" s="37">
        <f>IF(B36="Yes",0,B43-B39-B40-B41)</f>
        <v/>
      </c>
      <c r="C44" s="37">
        <f>IF(C36="Yes",0,C43-C39-C40-C41)</f>
        <v/>
      </c>
      <c r="D44" s="37">
        <f>IF(D36="Yes",0,D43-D39-D40-D41)</f>
        <v/>
      </c>
    </row>
    <row r="45">
      <c r="A45" s="34" t="inlineStr">
        <is>
          <t>Exempt listed-share CG (ordinary investor, gain ≤ cap, not sponsor)</t>
        </is>
      </c>
      <c r="B45" s="37">
        <f>IF(AND(B34="Yes",B35="No",B44&gt;0,B44&lt;=P_ListedCGExempt),B44,0)</f>
        <v/>
      </c>
      <c r="C45" s="37">
        <f>IF(AND(C34="Yes",C35="No",C44&gt;0,C44&lt;=P_ListedCGExempt),C44,0)</f>
        <v/>
      </c>
      <c r="D45" s="37">
        <f>IF(AND(D34="Yes",D35="No",D44&gt;0,D44&lt;=P_ListedCGExempt),D44,0)</f>
        <v/>
      </c>
    </row>
    <row r="46">
      <c r="A46" s="34" t="inlineStr">
        <is>
          <t>Taxable CG — regular slab (held ≤ 5 years, not listed-exempt)</t>
        </is>
      </c>
      <c r="B46" s="37">
        <f>IF(AND(B33="No",B45=0),MAX(B44,0),0)</f>
        <v/>
      </c>
      <c r="C46" s="37">
        <f>IF(AND(C33="No",C45=0),MAX(C44,0),0)</f>
        <v/>
      </c>
      <c r="D46" s="37">
        <f>IF(AND(D33="No",D45=0),MAX(D44,0),0)</f>
        <v/>
      </c>
    </row>
    <row r="47">
      <c r="A47" s="34" t="inlineStr">
        <is>
          <t>Taxable CG — special 15% (held &gt; 5 years or listed taxable)</t>
        </is>
      </c>
      <c r="B47" s="37">
        <f>IF(B45&gt;0,0,IF(OR(B33="Yes",B34="Yes"),MAX(B44,0),0))</f>
        <v/>
      </c>
      <c r="C47" s="37">
        <f>IF(C45&gt;0,0,IF(OR(C33="Yes",C34="Yes"),MAX(C44,0),0))</f>
        <v/>
      </c>
      <c r="D47" s="37">
        <f>IF(D45&gt;0,0,IF(OR(D33="Yes",D34="Yes"),MAX(D44,0),0))</f>
        <v/>
      </c>
    </row>
    <row r="49">
      <c r="A49" s="19" t="inlineStr">
        <is>
          <t>TOTAL EXEMPT CAPITAL GAIN</t>
        </is>
      </c>
      <c r="B49" s="37">
        <f>B45+C45+D45</f>
        <v/>
      </c>
    </row>
    <row r="50">
      <c r="A50" s="43" t="inlineStr">
        <is>
          <t>TOTAL CG CHARGED AT REGULAR SLAB</t>
        </is>
      </c>
      <c r="B50" s="44">
        <f>B46+C46+D46</f>
        <v/>
      </c>
    </row>
    <row r="51">
      <c r="A51" s="45" t="inlineStr">
        <is>
          <t>TOTAL CG CHARGED AT 15%</t>
        </is>
      </c>
      <c r="B51" s="46">
        <f>B47+C47+D47</f>
        <v/>
      </c>
    </row>
    <row r="53" ht="20" customHeight="1">
      <c r="A53" s="23" t="inlineStr">
        <is>
          <t xml:space="preserve">  D   TAX-TREATMENT TABLE</t>
        </is>
      </c>
      <c r="B53" s="23" t="n"/>
      <c r="C53" s="23" t="n"/>
      <c r="D53" s="23" t="n"/>
      <c r="E53" s="23" t="n"/>
      <c r="F53" s="23" t="n"/>
      <c r="G53" s="23" t="n"/>
      <c r="H53" s="23" t="n"/>
      <c r="I53" s="23" t="n"/>
      <c r="J53" s="23" t="n"/>
      <c r="K53" s="23" t="n"/>
      <c r="L53" s="23" t="n"/>
    </row>
    <row r="54" ht="28" customHeight="1">
      <c r="A54" s="47" t="inlineStr">
        <is>
          <t>Income item</t>
        </is>
      </c>
      <c r="B54" s="47" t="inlineStr">
        <is>
          <t>Gross amount</t>
        </is>
      </c>
      <c r="C54" s="47" t="inlineStr">
        <is>
          <t>Taxable amount</t>
        </is>
      </c>
      <c r="D54" s="47" t="inlineStr">
        <is>
          <t>Exempt amount</t>
        </is>
      </c>
      <c r="E54" s="47" t="inlineStr">
        <is>
          <t>Deduction / adjustment</t>
        </is>
      </c>
      <c r="F54" s="47" t="inlineStr">
        <is>
          <t>Net taxable amount</t>
        </is>
      </c>
      <c r="G54" s="47" t="inlineStr">
        <is>
          <t>Relevant provision</t>
        </is>
      </c>
      <c r="H54" s="47" t="inlineStr">
        <is>
          <t>Explanation</t>
        </is>
      </c>
      <c r="I54" s="47" t="inlineStr"/>
      <c r="J54" s="47" t="inlineStr"/>
      <c r="K54" s="47" t="inlineStr"/>
      <c r="L54" s="47" t="inlineStr"/>
    </row>
    <row r="55">
      <c r="A55" s="34" t="inlineStr">
        <is>
          <t>Capital gains (all assets)</t>
        </is>
      </c>
      <c r="B55" s="37">
        <f>B44+C44+D44</f>
        <v/>
      </c>
      <c r="C55" s="37">
        <f>$B$50+$B$51</f>
        <v/>
      </c>
      <c r="D55" s="37">
        <f>$B$49</f>
        <v/>
      </c>
      <c r="E55" s="37">
        <f>B39+C39+D39+B40+C40+D40+B41+C41+D41</f>
        <v/>
      </c>
      <c r="F55" s="37">
        <f>$B$50+$B$51</f>
        <v/>
      </c>
      <c r="G55" t="inlineStr">
        <is>
          <t>s.58</t>
        </is>
      </c>
      <c r="H55" t="inlineStr">
        <is>
          <t>Split by rate on Home sheet</t>
        </is>
      </c>
    </row>
    <row r="57" ht="20" customHeight="1">
      <c r="A57" s="23" t="inlineStr">
        <is>
          <t xml:space="preserve">  E   WORKED EXAMPLE  —  Mr. Md. Karim Rahman</t>
        </is>
      </c>
      <c r="B57" s="23" t="n"/>
      <c r="C57" s="23" t="n"/>
      <c r="D57" s="23" t="n"/>
      <c r="E57" s="23" t="n"/>
      <c r="F57" s="23" t="n"/>
      <c r="G57" s="23" t="n"/>
      <c r="H57" s="23" t="n"/>
      <c r="I57" s="23" t="n"/>
      <c r="J57" s="23" t="n"/>
      <c r="K57" s="23" t="n"/>
      <c r="L57" s="23" t="n"/>
    </row>
    <row r="58" ht="40" customHeight="1">
      <c r="A58" s="32" t="inlineStr">
        <is>
          <t>STEP 1 — FACTS. (i) Ordinary listed shares sold for 800,000 (FMV 790,000); cost 550,000; brokerage 5,000; held since 2019. (ii) Gazipur plot bought 2018 for 2,000,000; boundary wall 150,000; sold 15 Jan 2026 for 4,500,000 (FMV 4,200,000); transfer expenses 180,000; registration tax collected 180,000.</t>
        </is>
      </c>
      <c r="B58" s="33" t="n"/>
      <c r="C58" s="33" t="n"/>
      <c r="D58" s="33" t="n"/>
      <c r="E58" s="33" t="n"/>
      <c r="F58" s="33" t="n"/>
      <c r="G58" s="33" t="n"/>
      <c r="H58" s="33" t="n"/>
      <c r="I58" s="33" t="n"/>
      <c r="J58" s="33" t="n"/>
      <c r="K58" s="33" t="n"/>
      <c r="L58" s="33" t="n"/>
    </row>
    <row r="59" ht="36" customHeight="1">
      <c r="A59" s="48" t="inlineStr">
        <is>
          <t>STEP 2–4. Listed shares: deemed consideration 800,000 − 550,000 − 5,000 = 245,000, exempt (ordinary investor, well below 5 million). Land: deemed consideration 4,500,000 − 2,000,000 − 150,000 − 180,000 = 2,170,000, held &gt; 5 years → special 15%. TAXABLE CAPITAL GAIN = 0 (regular) + 2,170,000 (15%).</t>
        </is>
      </c>
      <c r="B59" s="49" t="n"/>
      <c r="C59" s="49" t="n"/>
      <c r="D59" s="49" t="n"/>
      <c r="E59" s="49" t="n"/>
      <c r="F59" s="49" t="n"/>
      <c r="G59" s="49" t="n"/>
      <c r="H59" s="49" t="n"/>
      <c r="I59" s="49" t="n"/>
      <c r="J59" s="49" t="n"/>
      <c r="K59" s="49" t="n"/>
      <c r="L59" s="49" t="n"/>
    </row>
    <row r="60">
      <c r="A60" s="19" t="inlineStr">
        <is>
          <t>Regular CG (live)</t>
        </is>
      </c>
      <c r="B60" s="37">
        <f>$B$50</f>
        <v/>
      </c>
      <c r="C60" s="19" t="inlineStr">
        <is>
          <t>15% CG (live)</t>
        </is>
      </c>
      <c r="D60" s="37">
        <f>$B$51</f>
        <v/>
      </c>
      <c r="E60" s="19" t="inlineStr">
        <is>
          <t>Exempt (live)</t>
        </is>
      </c>
      <c r="F60" s="37">
        <f>$B$49</f>
        <v/>
      </c>
    </row>
    <row r="62" ht="36" customHeight="1">
      <c r="A62" s="52" t="inlineStr">
        <is>
          <t>STEP 5 — WHY. Consideration is the higher of actual and FMV — for the land, actual 4.5m beats FMV 4.2m. There is no indexation. The listed-share exemption is not available to a sponsor/director. s.125 tax of 180,000 is compared with 15% of 2,170,000 (= 325,500) on the Home sheet; tax on the gain is the higher figure.</t>
        </is>
      </c>
      <c r="B62" s="53" t="n"/>
      <c r="C62" s="53" t="n"/>
      <c r="D62" s="53" t="n"/>
      <c r="E62" s="53" t="n"/>
      <c r="F62" s="53" t="n"/>
      <c r="G62" s="53" t="n"/>
      <c r="H62" s="53" t="n"/>
      <c r="I62" s="53" t="n"/>
      <c r="J62" s="53" t="n"/>
      <c r="K62" s="53" t="n"/>
      <c r="L62" s="53" t="n"/>
    </row>
    <row r="64" ht="20" customHeight="1">
      <c r="A64" s="23" t="inlineStr">
        <is>
          <t xml:space="preserve">  F   ICAB EXAM TIPS</t>
        </is>
      </c>
      <c r="B64" s="23" t="n"/>
      <c r="C64" s="23" t="n"/>
      <c r="D64" s="23" t="n"/>
      <c r="E64" s="23" t="n"/>
      <c r="F64" s="23" t="n"/>
      <c r="G64" s="23" t="n"/>
      <c r="H64" s="23" t="n"/>
      <c r="I64" s="23" t="n"/>
      <c r="J64" s="23" t="n"/>
      <c r="K64" s="23" t="n"/>
      <c r="L64" s="23" t="n"/>
    </row>
    <row r="65" ht="26" customHeight="1">
      <c r="A65" s="52" t="inlineStr">
        <is>
          <t>1.  Write: Deemed consideration (higher of actual &amp; FMV) − cost − improvement − transfer expenses = CG.</t>
        </is>
      </c>
      <c r="B65" s="53" t="n"/>
      <c r="C65" s="53" t="n"/>
      <c r="D65" s="53" t="n"/>
      <c r="E65" s="53" t="n"/>
      <c r="F65" s="53" t="n"/>
      <c r="G65" s="53" t="n"/>
      <c r="H65" s="53" t="n"/>
      <c r="I65" s="53" t="n"/>
      <c r="J65" s="53" t="n"/>
      <c r="K65" s="53" t="n"/>
      <c r="L65" s="53" t="n"/>
    </row>
    <row r="66" ht="26" customHeight="1">
      <c r="A66" s="54" t="inlineStr">
        <is>
          <t>2.  State the holding period in the first line of the working. Rate depends on it.</t>
        </is>
      </c>
      <c r="B66" s="55" t="n"/>
      <c r="C66" s="55" t="n"/>
      <c r="D66" s="55" t="n"/>
      <c r="E66" s="55" t="n"/>
      <c r="F66" s="55" t="n"/>
      <c r="G66" s="55" t="n"/>
      <c r="H66" s="55" t="n"/>
      <c r="I66" s="55" t="n"/>
      <c r="J66" s="55" t="n"/>
      <c r="K66" s="55" t="n"/>
      <c r="L66" s="55" t="n"/>
    </row>
    <row r="67" ht="26" customHeight="1">
      <c r="A67" s="52" t="inlineStr">
        <is>
          <t>3.  Do not apply Indian indexation or Indian LTCG 12.5%/10% with 1.25 lakh exemption.</t>
        </is>
      </c>
      <c r="B67" s="53" t="n"/>
      <c r="C67" s="53" t="n"/>
      <c r="D67" s="53" t="n"/>
      <c r="E67" s="53" t="n"/>
      <c r="F67" s="53" t="n"/>
      <c r="G67" s="53" t="n"/>
      <c r="H67" s="53" t="n"/>
      <c r="I67" s="53" t="n"/>
      <c r="J67" s="53" t="n"/>
      <c r="K67" s="53" t="n"/>
      <c r="L67" s="53" t="n"/>
    </row>
    <row r="68" ht="26" customHeight="1">
      <c r="A68" s="54" t="inlineStr">
        <is>
          <t>4.  Personal effects are outside the capital-asset definition — do not compute CG on a private car unless the question takes it out of 'personal effects'.</t>
        </is>
      </c>
      <c r="B68" s="55" t="n"/>
      <c r="C68" s="55" t="n"/>
      <c r="D68" s="55" t="n"/>
      <c r="E68" s="55" t="n"/>
      <c r="F68" s="55" t="n"/>
      <c r="G68" s="55" t="n"/>
      <c r="H68" s="55" t="n"/>
      <c r="I68" s="55" t="n"/>
      <c r="J68" s="55" t="n"/>
      <c r="K68" s="55" t="n"/>
      <c r="L68" s="55" t="n"/>
    </row>
    <row r="69" ht="26" customHeight="1">
      <c r="A69" s="52" t="inlineStr">
        <is>
          <t>5.  Gift is usually not a transfer. The donee's tax, if any, is Other Sources.</t>
        </is>
      </c>
      <c r="B69" s="53" t="n"/>
      <c r="C69" s="53" t="n"/>
      <c r="D69" s="53" t="n"/>
      <c r="E69" s="53" t="n"/>
      <c r="F69" s="53" t="n"/>
      <c r="G69" s="53" t="n"/>
      <c r="H69" s="53" t="n"/>
      <c r="I69" s="53" t="n"/>
      <c r="J69" s="53" t="n"/>
      <c r="K69" s="53" t="n"/>
      <c r="L69" s="53" t="n"/>
    </row>
    <row r="70" ht="26" customHeight="1">
      <c r="A70" s="54" t="inlineStr">
        <is>
          <t>6.  Listed-share exemption is lost for sponsor / director / placement shares — a favourite twist.</t>
        </is>
      </c>
      <c r="B70" s="55" t="n"/>
      <c r="C70" s="55" t="n"/>
      <c r="D70" s="55" t="n"/>
      <c r="E70" s="55" t="n"/>
      <c r="F70" s="55" t="n"/>
      <c r="G70" s="55" t="n"/>
      <c r="H70" s="55" t="n"/>
      <c r="I70" s="55" t="n"/>
      <c r="J70" s="55" t="n"/>
      <c r="K70" s="55" t="n"/>
      <c r="L70" s="55" t="n"/>
    </row>
    <row r="71" ht="26" customHeight="1">
      <c r="A71" s="52" t="inlineStr">
        <is>
          <t>7.  Balancing charge on a depreciable asset is mostly business income.</t>
        </is>
      </c>
      <c r="B71" s="53" t="n"/>
      <c r="C71" s="53" t="n"/>
      <c r="D71" s="53" t="n"/>
      <c r="E71" s="53" t="n"/>
      <c r="F71" s="53" t="n"/>
      <c r="G71" s="53" t="n"/>
      <c r="H71" s="53" t="n"/>
      <c r="I71" s="53" t="n"/>
      <c r="J71" s="53" t="n"/>
      <c r="K71" s="53" t="n"/>
      <c r="L71" s="53" t="n"/>
    </row>
    <row r="72" ht="26" customHeight="1">
      <c r="A72" s="54" t="inlineStr">
        <is>
          <t>8.  Loss under this head can generally be set off only against capital gains and carried forward 6 years (s.70 — VERIFY).</t>
        </is>
      </c>
      <c r="B72" s="55" t="n"/>
      <c r="C72" s="55" t="n"/>
      <c r="D72" s="55" t="n"/>
      <c r="E72" s="55" t="n"/>
      <c r="F72" s="55" t="n"/>
      <c r="G72" s="55" t="n"/>
      <c r="H72" s="55" t="n"/>
      <c r="I72" s="55" t="n"/>
      <c r="J72" s="55" t="n"/>
      <c r="K72" s="55" t="n"/>
      <c r="L72" s="55" t="n"/>
    </row>
    <row r="74" ht="20" customHeight="1">
      <c r="A74" s="23" t="inlineStr">
        <is>
          <t xml:space="preserve">  G   ASSUMPTIONS / NOTES</t>
        </is>
      </c>
      <c r="B74" s="23" t="n"/>
      <c r="C74" s="23" t="n"/>
      <c r="D74" s="23" t="n"/>
      <c r="E74" s="23" t="n"/>
      <c r="F74" s="23" t="n"/>
      <c r="G74" s="23" t="n"/>
      <c r="H74" s="23" t="n"/>
      <c r="I74" s="23" t="n"/>
      <c r="J74" s="23" t="n"/>
      <c r="K74" s="23" t="n"/>
      <c r="L74" s="23" t="n"/>
    </row>
    <row r="75" ht="32" customHeight="1">
      <c r="A75" s="56" t="inlineStr">
        <is>
          <t>1.  Exemption cap and 15% rate are Home-sheet parameters (P_ListedCGExempt, P_CGLongRate).</t>
        </is>
      </c>
      <c r="B75" s="57" t="n"/>
      <c r="C75" s="57" t="n"/>
      <c r="D75" s="57" t="n"/>
      <c r="E75" s="57" t="n"/>
      <c r="F75" s="57" t="n"/>
      <c r="G75" s="57" t="n"/>
      <c r="H75" s="57" t="n"/>
      <c r="I75" s="57" t="n"/>
      <c r="J75" s="57" t="n"/>
      <c r="K75" s="57" t="n"/>
      <c r="L75" s="57" t="n"/>
    </row>
    <row r="76" ht="32" customHeight="1">
      <c r="A76" s="56" t="inlineStr">
        <is>
          <t>2.  If the exam year has withdrawn the 5-million listed-share exemption, set the cap to 0 on the Home sheet.</t>
        </is>
      </c>
      <c r="B76" s="57" t="n"/>
      <c r="C76" s="57" t="n"/>
      <c r="D76" s="57" t="n"/>
      <c r="E76" s="57" t="n"/>
      <c r="F76" s="57" t="n"/>
      <c r="G76" s="57" t="n"/>
      <c r="H76" s="57" t="n"/>
      <c r="I76" s="57" t="n"/>
      <c r="J76" s="57" t="n"/>
      <c r="K76" s="57" t="n"/>
      <c r="L76" s="57" t="n"/>
    </row>
    <row r="77" ht="32" customHeight="1">
      <c r="A77" s="56" t="inlineStr">
        <is>
          <t>3.  s.61 other factors (e.g. FMV determination by the Board) are fact-specific — do not invent a valuation.</t>
        </is>
      </c>
      <c r="B77" s="57" t="n"/>
      <c r="C77" s="57" t="n"/>
      <c r="D77" s="57" t="n"/>
      <c r="E77" s="57" t="n"/>
      <c r="F77" s="57" t="n"/>
      <c r="G77" s="57" t="n"/>
      <c r="H77" s="57" t="n"/>
      <c r="I77" s="57" t="n"/>
      <c r="J77" s="57" t="n"/>
      <c r="K77" s="57" t="n"/>
      <c r="L77" s="57" t="n"/>
    </row>
    <row r="79" ht="20" customHeight="1">
      <c r="A79" s="23" t="inlineStr">
        <is>
          <t xml:space="preserve">  H   LEGAL REFERENCES</t>
        </is>
      </c>
      <c r="B79" s="23" t="n"/>
      <c r="C79" s="23" t="n"/>
      <c r="D79" s="23" t="n"/>
      <c r="E79" s="23" t="n"/>
      <c r="F79" s="23" t="n"/>
      <c r="G79" s="23" t="n"/>
      <c r="H79" s="23" t="n"/>
      <c r="I79" s="23" t="n"/>
      <c r="J79" s="23" t="n"/>
      <c r="K79" s="23" t="n"/>
      <c r="L79" s="23" t="n"/>
    </row>
    <row r="80" ht="16" customHeight="1">
      <c r="A80" s="58" t="inlineStr">
        <is>
          <t>•  ITA 2023 ss.57–61.</t>
        </is>
      </c>
    </row>
    <row r="81" ht="16" customHeight="1">
      <c r="A81" s="58" t="inlineStr">
        <is>
          <t>•  Seventh Schedule — rates on capital gains. VERIFY.</t>
        </is>
      </c>
    </row>
    <row r="82" ht="16" customHeight="1">
      <c r="A82" s="58" t="inlineStr">
        <is>
          <t>•  s.125 tax at registration; s.163 minimum tax.</t>
        </is>
      </c>
    </row>
    <row r="83" ht="16" customHeight="1">
      <c r="A83" s="58" t="inlineStr">
        <is>
          <t>•  Sixth Schedule — listed-share exemption (paragraph: VERIFY).</t>
        </is>
      </c>
    </row>
  </sheetData>
  <mergeCells count="45">
    <mergeCell ref="D21:L21"/>
    <mergeCell ref="A16:L16"/>
    <mergeCell ref="G6:I6"/>
    <mergeCell ref="A75:L75"/>
    <mergeCell ref="A66:L66"/>
    <mergeCell ref="A74:L74"/>
    <mergeCell ref="A80:L80"/>
    <mergeCell ref="A12:L12"/>
    <mergeCell ref="A57:L57"/>
    <mergeCell ref="A2:L2"/>
    <mergeCell ref="A76:L76"/>
    <mergeCell ref="A71:L71"/>
    <mergeCell ref="A8:L8"/>
    <mergeCell ref="A14:L14"/>
    <mergeCell ref="D18:L18"/>
    <mergeCell ref="D25:L25"/>
    <mergeCell ref="A53:L53"/>
    <mergeCell ref="A62:L62"/>
    <mergeCell ref="D24:L24"/>
    <mergeCell ref="A81:L81"/>
    <mergeCell ref="A72:L72"/>
    <mergeCell ref="A10:L10"/>
    <mergeCell ref="D23:L23"/>
    <mergeCell ref="A68:L68"/>
    <mergeCell ref="A28:L28"/>
    <mergeCell ref="A13:L13"/>
    <mergeCell ref="A58:L58"/>
    <mergeCell ref="D26:L26"/>
    <mergeCell ref="A9:L9"/>
    <mergeCell ref="A67:L67"/>
    <mergeCell ref="D20:L20"/>
    <mergeCell ref="A77:L77"/>
    <mergeCell ref="A83:L83"/>
    <mergeCell ref="C6:E6"/>
    <mergeCell ref="A59:L59"/>
    <mergeCell ref="D19:L19"/>
    <mergeCell ref="A64:L64"/>
    <mergeCell ref="A82:L82"/>
    <mergeCell ref="A11:L11"/>
    <mergeCell ref="A1:L1"/>
    <mergeCell ref="D22:L22"/>
    <mergeCell ref="A70:L70"/>
    <mergeCell ref="A79:L79"/>
    <mergeCell ref="A69:L69"/>
    <mergeCell ref="A65:L65"/>
  </mergeCells>
  <dataValidations count="1">
    <dataValidation sqref="B33:D36" showDropDown="0" showInputMessage="0" showErrorMessage="0" allowBlank="1" errorTitle="Invalid entry" error="Select a value from the list" promptTitle="Input" prompt="Select from the list" type="list">
      <formula1>"Yes,No"</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Capital Gain</oddHeader>
    <oddFooter>&amp;L&amp;8Bangladesh Income Tax Act, 2023  |  For study / exam practice — verify Finance Act of the exam year&amp;R&amp;8Page &amp;P of &amp;N</oddFooter>
    <evenHeader/>
    <evenFooter/>
    <firstHeader/>
    <firstFooter/>
  </headerFooter>
</worksheet>
</file>

<file path=xl/worksheets/sheet7.xml><?xml version="1.0" encoding="utf-8"?>
<worksheet xmlns="http://schemas.openxmlformats.org/spreadsheetml/2006/main">
  <sheetPr>
    <tabColor rgb="0037474F"/>
    <outlinePr summaryBelow="1" summaryRight="1"/>
    <pageSetUpPr fitToPage="1"/>
  </sheetPr>
  <dimension ref="A1:L75"/>
  <sheetViews>
    <sheetView showGridLines="0" zoomScale="100"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20" customWidth="1" min="7" max="7"/>
    <col width="38" customWidth="1" min="8" max="8"/>
    <col width="14" customWidth="1" min="9" max="9"/>
    <col width="14" customWidth="1" min="10" max="10"/>
    <col width="14" customWidth="1" min="11" max="11"/>
    <col width="18" customWidth="1" min="12" max="12"/>
  </cols>
  <sheetData>
    <row r="1" ht="26" customHeight="1">
      <c r="A1" s="1" t="inlineStr">
        <is>
          <t>HEAD OF INCOME  ·  INCOME FROM OTHER SOURCES  ·  ALL AMOUNTS IN BDT (৳)</t>
        </is>
      </c>
      <c r="B1" s="2" t="n"/>
      <c r="C1" s="2" t="n"/>
      <c r="D1" s="2" t="n"/>
      <c r="E1" s="2" t="n"/>
      <c r="F1" s="2" t="n"/>
      <c r="G1" s="2" t="n"/>
      <c r="H1" s="2" t="n"/>
      <c r="I1" s="2" t="n"/>
      <c r="J1" s="2" t="n"/>
      <c r="K1" s="2" t="n"/>
      <c r="L1" s="2" t="n"/>
    </row>
    <row r="2" ht="16" customHeight="1">
      <c r="A2" s="3" t="inlineStr">
        <is>
          <t>ITA 2023  Chapter VIII  ss.66–69  |  Residual head + listed items (royalty, subsidy, gifts, lottery)  |  s.67 special / deemed items  |  Lottery at 25% with no deduction</t>
        </is>
      </c>
      <c r="B2" s="4" t="n"/>
      <c r="C2" s="4" t="n"/>
      <c r="D2" s="4" t="n"/>
      <c r="E2" s="4" t="n"/>
      <c r="F2" s="4" t="n"/>
      <c r="G2" s="4" t="n"/>
      <c r="H2" s="4" t="n"/>
      <c r="I2" s="4" t="n"/>
      <c r="J2" s="4" t="n"/>
      <c r="K2" s="4" t="n"/>
      <c r="L2" s="4" t="n"/>
    </row>
    <row r="3" ht="18" customHeight="1">
      <c r="A3" s="5" t="inlineStr">
        <is>
          <t>HOME / Summary</t>
        </is>
      </c>
      <c r="B3" s="5" t="inlineStr">
        <is>
          <t>Employment</t>
        </is>
      </c>
      <c r="C3" s="5" t="inlineStr">
        <is>
          <t>Financial Assets</t>
        </is>
      </c>
      <c r="D3" s="5" t="inlineStr">
        <is>
          <t>Rent</t>
        </is>
      </c>
      <c r="E3" s="5" t="inlineStr">
        <is>
          <t>Agriculture</t>
        </is>
      </c>
      <c r="F3" s="5" t="inlineStr">
        <is>
          <t>Business</t>
        </is>
      </c>
      <c r="G3" s="5" t="inlineStr">
        <is>
          <t>Capital Gain</t>
        </is>
      </c>
      <c r="H3" s="6"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c r="A6" s="19" t="inlineStr">
        <is>
          <t>Assessee / IY / AY (linked to Home sheet)</t>
        </is>
      </c>
      <c r="B6" s="20">
        <f>P_Name</f>
        <v/>
      </c>
      <c r="C6" s="20">
        <f>"IY "&amp;P_IY&amp;"  |  AY "&amp;P_AY</f>
        <v/>
      </c>
      <c r="D6" s="21" t="n"/>
      <c r="E6" s="22" t="n"/>
      <c r="F6" s="20">
        <f>P_Status</f>
        <v/>
      </c>
      <c r="G6" s="20">
        <f>P_Category</f>
        <v/>
      </c>
      <c r="H6" s="21" t="n"/>
      <c r="I6" s="22" t="n"/>
    </row>
    <row r="8" ht="20" customHeight="1">
      <c r="A8" s="23" t="inlineStr">
        <is>
          <t xml:space="preserve">  A   QUICK CONCEPT / DEFINITION</t>
        </is>
      </c>
      <c r="B8" s="23" t="n"/>
      <c r="C8" s="23" t="n"/>
      <c r="D8" s="23" t="n"/>
      <c r="E8" s="23" t="n"/>
      <c r="F8" s="23" t="n"/>
      <c r="G8" s="23" t="n"/>
      <c r="H8" s="23" t="n"/>
      <c r="I8" s="23" t="n"/>
      <c r="J8" s="23" t="n"/>
      <c r="K8" s="23" t="n"/>
      <c r="L8" s="23" t="n"/>
    </row>
    <row r="9" ht="30" customHeight="1">
      <c r="A9" s="24" t="inlineStr">
        <is>
          <t>•  Definition: Residual head — income that does not fall under the other six heads — plus specifically listed items (s.66): royalty, licence fees, technical-know-how fees, consideration for the right to use an intangible; government cash subsidy / incentive; transfer of certain naturally created property / goodwill (not mineral/hydrocarbon); gifts, donations and presentations; lottery / crossword / card / online-game winnings; and any other income not classified elsewhere.</t>
        </is>
      </c>
      <c r="B9" s="25" t="n"/>
      <c r="C9" s="25" t="n"/>
      <c r="D9" s="25" t="n"/>
      <c r="E9" s="25" t="n"/>
      <c r="F9" s="25" t="n"/>
      <c r="G9" s="25" t="n"/>
      <c r="H9" s="25" t="n"/>
      <c r="I9" s="25" t="n"/>
      <c r="J9" s="25" t="n"/>
      <c r="K9" s="25" t="n"/>
      <c r="L9" s="25" t="n"/>
    </row>
    <row r="10" ht="30" customHeight="1">
      <c r="A10" s="24" t="inlineStr">
        <is>
          <t>•  s.67 adds special / deemed areas (exam favourites for companies, but individuals can meet some of them): asset bought below FMV (difference); waiver of a loan; cash share-capital of an unlisted company; borrowings otherwise than through banking channel; motor-car / jeep cost above 10% of capital &amp; reserves (50% of excess); unexplained cash credits, investments, expenditures (the old s.19 family, now recast — VERIFY the exact s.67 list in your reprint).</t>
        </is>
      </c>
      <c r="B10" s="25" t="n"/>
      <c r="C10" s="25" t="n"/>
      <c r="D10" s="25" t="n"/>
      <c r="E10" s="25" t="n"/>
      <c r="F10" s="25" t="n"/>
      <c r="G10" s="25" t="n"/>
      <c r="H10" s="25" t="n"/>
      <c r="I10" s="25" t="n"/>
      <c r="J10" s="25" t="n"/>
      <c r="K10" s="25" t="n"/>
      <c r="L10" s="25" t="n"/>
    </row>
    <row r="11" ht="30" customHeight="1">
      <c r="A11" s="24" t="inlineStr">
        <is>
          <t>•  Deductions (s.68): expenditure wholly and exclusively for earning this income, not capital, not personal, and reasonable. s.69 disallows specified items. No deduction against lottery / game winnings.</t>
        </is>
      </c>
      <c r="B11" s="25" t="n"/>
      <c r="C11" s="25" t="n"/>
      <c r="D11" s="25" t="n"/>
      <c r="E11" s="25" t="n"/>
      <c r="F11" s="25" t="n"/>
      <c r="G11" s="25" t="n"/>
      <c r="H11" s="25" t="n"/>
      <c r="I11" s="25" t="n"/>
      <c r="J11" s="25" t="n"/>
      <c r="K11" s="25" t="n"/>
      <c r="L11" s="25" t="n"/>
    </row>
    <row r="12" ht="30" customHeight="1">
      <c r="A12" s="24" t="inlineStr">
        <is>
          <t>•  Gifts: money received as a gift from a spouse, parent or child is exempt if shown in both the donor's and the recipient's returns. A gift from a friend, cousin or employer (if not employment) is taxable here. Do not confuse a gift with capital gain.</t>
        </is>
      </c>
      <c r="B12" s="25" t="n"/>
      <c r="C12" s="25" t="n"/>
      <c r="D12" s="25" t="n"/>
      <c r="E12" s="25" t="n"/>
      <c r="F12" s="25" t="n"/>
      <c r="G12" s="25" t="n"/>
      <c r="H12" s="25" t="n"/>
      <c r="I12" s="25" t="n"/>
      <c r="J12" s="25" t="n"/>
      <c r="K12" s="25" t="n"/>
      <c r="L12" s="25" t="n"/>
    </row>
    <row r="13" ht="30" customHeight="1">
      <c r="A13" s="24" t="inlineStr">
        <is>
          <t>•  Why an item is here rather than elsewhere: royalty for an intangible is OS unless it is business of licensing; a one-off examiner honorarium with no employment relationship is OS; cash incentive from the government is OS (not business, unless the question treats it as part of business receipts); lottery is always OS.</t>
        </is>
      </c>
      <c r="B13" s="25" t="n"/>
      <c r="C13" s="25" t="n"/>
      <c r="D13" s="25" t="n"/>
      <c r="E13" s="25" t="n"/>
      <c r="F13" s="25" t="n"/>
      <c r="G13" s="25" t="n"/>
      <c r="H13" s="25" t="n"/>
      <c r="I13" s="25" t="n"/>
      <c r="J13" s="25" t="n"/>
      <c r="K13" s="25" t="n"/>
      <c r="L13" s="25" t="n"/>
    </row>
    <row r="14" ht="30" customHeight="1">
      <c r="A14" s="24" t="inlineStr">
        <is>
          <t>•  ICAB points: residual does not mean 'miscellaneous dump'. First decide that it is not employment, rent, agri, business, CG or financial assets. Then apply s.66/s.67. Lottery is 25% standalone.</t>
        </is>
      </c>
      <c r="B14" s="25" t="n"/>
      <c r="C14" s="25" t="n"/>
      <c r="D14" s="25" t="n"/>
      <c r="E14" s="25" t="n"/>
      <c r="F14" s="25" t="n"/>
      <c r="G14" s="25" t="n"/>
      <c r="H14" s="25" t="n"/>
      <c r="I14" s="25" t="n"/>
      <c r="J14" s="25" t="n"/>
      <c r="K14" s="25" t="n"/>
      <c r="L14" s="25" t="n"/>
    </row>
    <row r="16" ht="20" customHeight="1">
      <c r="A16" s="23" t="inlineStr">
        <is>
          <t xml:space="preserve">  B   TYPES OF INCOME  —  TAX TREATMENT</t>
        </is>
      </c>
      <c r="B16" s="23" t="n"/>
      <c r="C16" s="23" t="n"/>
      <c r="D16" s="23" t="n"/>
      <c r="E16" s="23" t="n"/>
      <c r="F16" s="23" t="n"/>
      <c r="G16" s="23" t="n"/>
      <c r="H16" s="23" t="n"/>
      <c r="I16" s="23" t="n"/>
      <c r="J16" s="23" t="n"/>
      <c r="K16" s="23" t="n"/>
      <c r="L16" s="23" t="n"/>
    </row>
    <row r="17" ht="28" customHeight="1">
      <c r="A17" s="26" t="inlineStr">
        <is>
          <t>Particular</t>
        </is>
      </c>
      <c r="B17" s="26" t="inlineStr">
        <is>
          <t>Tax treatment</t>
        </is>
      </c>
      <c r="C17" s="26" t="inlineStr">
        <is>
          <t>Relevant provision</t>
        </is>
      </c>
      <c r="D17" s="26" t="inlineStr">
        <is>
          <t>Why this head (not another)</t>
        </is>
      </c>
      <c r="E17" s="26" t="inlineStr"/>
      <c r="F17" s="26" t="inlineStr"/>
      <c r="G17" s="26" t="inlineStr"/>
      <c r="H17" s="26" t="inlineStr"/>
      <c r="I17" s="26" t="inlineStr"/>
      <c r="J17" s="26" t="inlineStr"/>
      <c r="K17" s="26" t="inlineStr"/>
      <c r="L17" s="26" t="inlineStr"/>
    </row>
    <row r="18">
      <c r="A18" s="27" t="inlineStr">
        <is>
          <t>Royalty / licence / technical-know-how / intangible use</t>
        </is>
      </c>
      <c r="B18" s="27" t="inlineStr">
        <is>
          <t>Taxable here (regular)</t>
        </is>
      </c>
      <c r="C18" s="27" t="inlineStr">
        <is>
          <t>s.66</t>
        </is>
      </c>
      <c r="D18" s="27" t="inlineStr">
        <is>
          <t>Not employment (no office); not business unless licensing is the business.</t>
        </is>
      </c>
      <c r="E18" s="27" t="n"/>
      <c r="F18" s="27" t="n"/>
      <c r="G18" s="27" t="n"/>
      <c r="H18" s="27" t="n"/>
      <c r="I18" s="27" t="n"/>
      <c r="J18" s="27" t="n"/>
      <c r="K18" s="27" t="n"/>
      <c r="L18" s="27" t="n"/>
    </row>
    <row r="19">
      <c r="A19" s="29" t="inlineStr">
        <is>
          <t>Government cash subsidy / cash incentive</t>
        </is>
      </c>
      <c r="B19" s="29" t="inlineStr">
        <is>
          <t>Taxable here (regular)</t>
        </is>
      </c>
      <c r="C19" s="29" t="inlineStr">
        <is>
          <t>s.66</t>
        </is>
      </c>
      <c r="D19" s="29" t="inlineStr">
        <is>
          <t>Not automatically agri or business.</t>
        </is>
      </c>
      <c r="E19" s="29" t="n"/>
      <c r="F19" s="29" t="n"/>
      <c r="G19" s="29" t="n"/>
      <c r="H19" s="29" t="n"/>
      <c r="I19" s="29" t="n"/>
      <c r="J19" s="29" t="n"/>
      <c r="K19" s="29" t="n"/>
      <c r="L19" s="29" t="n"/>
    </row>
    <row r="20">
      <c r="A20" s="27" t="inlineStr">
        <is>
          <t>Gift from spouse / parent / child (disclosed both sides)</t>
        </is>
      </c>
      <c r="B20" s="27" t="inlineStr">
        <is>
          <t>Exempt</t>
        </is>
      </c>
      <c r="C20" s="27" t="inlineStr">
        <is>
          <t>Sixth Schedule — VERIFY</t>
        </is>
      </c>
      <c r="D20" s="27" t="inlineStr">
        <is>
          <t>Not CG (no transfer computation).</t>
        </is>
      </c>
      <c r="E20" s="27" t="n"/>
      <c r="F20" s="27" t="n"/>
      <c r="G20" s="27" t="n"/>
      <c r="H20" s="27" t="n"/>
      <c r="I20" s="27" t="n"/>
      <c r="J20" s="27" t="n"/>
      <c r="K20" s="27" t="n"/>
      <c r="L20" s="27" t="n"/>
    </row>
    <row r="21">
      <c r="A21" s="29" t="inlineStr">
        <is>
          <t>Gift from friend / other person</t>
        </is>
      </c>
      <c r="B21" s="29" t="inlineStr">
        <is>
          <t>Taxable here (regular)</t>
        </is>
      </c>
      <c r="C21" s="29" t="inlineStr">
        <is>
          <t>s.66</t>
        </is>
      </c>
      <c r="D21" s="29" t="inlineStr">
        <is>
          <t>Not employment unless it is a reward from the employer.</t>
        </is>
      </c>
      <c r="E21" s="29" t="n"/>
      <c r="F21" s="29" t="n"/>
      <c r="G21" s="29" t="n"/>
      <c r="H21" s="29" t="n"/>
      <c r="I21" s="29" t="n"/>
      <c r="J21" s="29" t="n"/>
      <c r="K21" s="29" t="n"/>
      <c r="L21" s="29" t="n"/>
    </row>
    <row r="22">
      <c r="A22" s="27" t="inlineStr">
        <is>
          <t>Lottery / crossword / card / online game</t>
        </is>
      </c>
      <c r="B22" s="27" t="inlineStr">
        <is>
          <t>Special 25%; no deduction</t>
        </is>
      </c>
      <c r="C22" s="27" t="inlineStr">
        <is>
          <t>s.66; Seventh Schedule</t>
        </is>
      </c>
      <c r="D22" s="27" t="inlineStr">
        <is>
          <t>Never slab, never net of expenses.</t>
        </is>
      </c>
      <c r="E22" s="27" t="n"/>
      <c r="F22" s="27" t="n"/>
      <c r="G22" s="27" t="n"/>
      <c r="H22" s="27" t="n"/>
      <c r="I22" s="27" t="n"/>
      <c r="J22" s="27" t="n"/>
      <c r="K22" s="27" t="n"/>
      <c r="L22" s="27" t="n"/>
    </row>
    <row r="23">
      <c r="A23" s="29" t="inlineStr">
        <is>
          <t>Examiner / guest-lecture honorarium (no employment)</t>
        </is>
      </c>
      <c r="B23" s="29" t="inlineStr">
        <is>
          <t>Taxable here</t>
        </is>
      </c>
      <c r="C23" s="29" t="inlineStr">
        <is>
          <t>s.66 residual</t>
        </is>
      </c>
      <c r="D23" s="29" t="inlineStr">
        <is>
          <t>If paid by the employer as salary, it is employment.</t>
        </is>
      </c>
      <c r="E23" s="29" t="n"/>
      <c r="F23" s="29" t="n"/>
      <c r="G23" s="29" t="n"/>
      <c r="H23" s="29" t="n"/>
      <c r="I23" s="29" t="n"/>
      <c r="J23" s="29" t="n"/>
      <c r="K23" s="29" t="n"/>
      <c r="L23" s="29" t="n"/>
    </row>
    <row r="24">
      <c r="A24" s="27" t="inlineStr">
        <is>
          <t>Family pension (if not employment)</t>
        </is>
      </c>
      <c r="B24" s="27" t="inlineStr">
        <is>
          <t>Usually this head — VERIFY</t>
        </is>
      </c>
      <c r="C24" s="27" t="inlineStr">
        <is>
          <t>s.66</t>
        </is>
      </c>
      <c r="D24" s="27" t="inlineStr">
        <is>
          <t>Government pension may be exempt — VERIFY.</t>
        </is>
      </c>
      <c r="E24" s="27" t="n"/>
      <c r="F24" s="27" t="n"/>
      <c r="G24" s="27" t="n"/>
      <c r="H24" s="27" t="n"/>
      <c r="I24" s="27" t="n"/>
      <c r="J24" s="27" t="n"/>
      <c r="K24" s="27" t="n"/>
      <c r="L24" s="27" t="n"/>
    </row>
    <row r="25">
      <c r="A25" s="29" t="inlineStr">
        <is>
          <t>Waiver of loan / unexplained credit / asset below FMV</t>
        </is>
      </c>
      <c r="B25" s="29" t="inlineStr">
        <is>
          <t>Deemed OS (s.67)</t>
        </is>
      </c>
      <c r="C25" s="29" t="inlineStr">
        <is>
          <t>s.67</t>
        </is>
      </c>
      <c r="D25" s="29" t="inlineStr">
        <is>
          <t>Anti-avoidance / deemed income.</t>
        </is>
      </c>
      <c r="E25" s="29" t="n"/>
      <c r="F25" s="29" t="n"/>
      <c r="G25" s="29" t="n"/>
      <c r="H25" s="29" t="n"/>
      <c r="I25" s="29" t="n"/>
      <c r="J25" s="29" t="n"/>
      <c r="K25" s="29" t="n"/>
      <c r="L25" s="29" t="n"/>
    </row>
    <row r="26">
      <c r="A26" s="27" t="inlineStr">
        <is>
          <t>Director sitting fee (if not treated as employment)</t>
        </is>
      </c>
      <c r="B26" s="27" t="inlineStr">
        <is>
          <t>Often OS — VERIFY facts</t>
        </is>
      </c>
      <c r="C26" s="27" t="inlineStr">
        <is>
          <t>s.32 vs s.66</t>
        </is>
      </c>
      <c r="D26" s="27" t="inlineStr">
        <is>
          <t>A company director can be an 'employee' under s.2 — check the question.</t>
        </is>
      </c>
      <c r="E26" s="27" t="n"/>
      <c r="F26" s="27" t="n"/>
      <c r="G26" s="27" t="n"/>
      <c r="H26" s="27" t="n"/>
      <c r="I26" s="27" t="n"/>
      <c r="J26" s="27" t="n"/>
      <c r="K26" s="27" t="n"/>
      <c r="L26" s="27" t="n"/>
    </row>
    <row r="27">
      <c r="A27" s="29" t="inlineStr">
        <is>
          <t>Interest already classified as financial assets</t>
        </is>
      </c>
      <c r="B27" s="29" t="inlineStr">
        <is>
          <t>NOT this head</t>
        </is>
      </c>
      <c r="C27" s="29" t="inlineStr">
        <is>
          <t>s.62</t>
        </is>
      </c>
      <c r="D27" s="29" t="inlineStr">
        <is>
          <t>Do not double-count bank interest here.</t>
        </is>
      </c>
      <c r="E27" s="29" t="n"/>
      <c r="F27" s="29" t="n"/>
      <c r="G27" s="29" t="n"/>
      <c r="H27" s="29" t="n"/>
      <c r="I27" s="29" t="n"/>
      <c r="J27" s="29" t="n"/>
      <c r="K27" s="29" t="n"/>
      <c r="L27" s="29" t="n"/>
    </row>
    <row r="29" ht="20" customHeight="1">
      <c r="A29" s="23" t="inlineStr">
        <is>
          <t xml:space="preserve">  C   COMPUTATION TEMPLATE</t>
        </is>
      </c>
      <c r="B29" s="23" t="n"/>
      <c r="C29" s="23" t="n"/>
      <c r="D29" s="23" t="n"/>
      <c r="E29" s="23" t="n"/>
      <c r="F29" s="23" t="n"/>
      <c r="G29" s="23" t="n"/>
      <c r="H29" s="23" t="n"/>
      <c r="I29" s="23" t="n"/>
      <c r="J29" s="23" t="n"/>
      <c r="K29" s="23" t="n"/>
      <c r="L29" s="23" t="n"/>
    </row>
    <row r="30" ht="28" customHeight="1">
      <c r="A30" s="26" t="inlineStr">
        <is>
          <t>Income item</t>
        </is>
      </c>
      <c r="B30" s="26" t="inlineStr">
        <is>
          <t>Gross (BDT)</t>
        </is>
      </c>
      <c r="C30" s="26" t="inlineStr">
        <is>
          <t>Class</t>
        </is>
      </c>
      <c r="D30" s="26" t="inlineStr">
        <is>
          <t>Allowable expense</t>
        </is>
      </c>
      <c r="E30" s="26" t="inlineStr">
        <is>
          <t>Taxable regular</t>
        </is>
      </c>
      <c r="F30" s="26" t="inlineStr">
        <is>
          <t>Lottery 25%</t>
        </is>
      </c>
      <c r="G30" s="26" t="inlineStr">
        <is>
          <t>Exempt</t>
        </is>
      </c>
      <c r="H30" s="26" t="inlineStr">
        <is>
          <t>Net taxable</t>
        </is>
      </c>
      <c r="I30" s="26" t="inlineStr">
        <is>
          <t>Why this head / provision</t>
        </is>
      </c>
      <c r="J30" s="26" t="inlineStr">
        <is>
          <t>TDS (memo)</t>
        </is>
      </c>
      <c r="K30" s="26" t="inlineStr">
        <is>
          <t>Check</t>
        </is>
      </c>
      <c r="L30" s="26" t="inlineStr"/>
    </row>
    <row r="31">
      <c r="A31" s="34" t="inlineStr">
        <is>
          <t>Royalty / licence / technical fee</t>
        </is>
      </c>
      <c r="B31" s="35" t="n">
        <v>100000</v>
      </c>
      <c r="C31" s="36" t="inlineStr">
        <is>
          <t>Regular</t>
        </is>
      </c>
      <c r="D31" s="35" t="n">
        <v>5000</v>
      </c>
      <c r="E31" s="37">
        <f>IF(C31="Regular",MAX(B31-D31,0),0)</f>
        <v/>
      </c>
      <c r="F31" s="37">
        <f>IF(C31="Lottery",B31,0)</f>
        <v/>
      </c>
      <c r="G31" s="37">
        <f>IF(C31="Exempt",B31,0)</f>
        <v/>
      </c>
      <c r="H31" s="37">
        <f>E31+F31</f>
        <v/>
      </c>
      <c r="I31" s="38" t="inlineStr">
        <is>
          <t>s.66 — not a business of licensing</t>
        </is>
      </c>
      <c r="J31" s="35" t="n">
        <v>0</v>
      </c>
      <c r="K31" s="39">
        <f>IF(OR(E31+F31+G31&gt;B31+0.001,AND(C31="Lottery",D31&lt;&gt;0)),"CHECK REQUIRED","OK")</f>
        <v/>
      </c>
    </row>
    <row r="32">
      <c r="A32" s="34" t="inlineStr">
        <is>
          <t>Government cash incentive / subsidy</t>
        </is>
      </c>
      <c r="B32" s="35" t="n">
        <v>50000</v>
      </c>
      <c r="C32" s="36" t="inlineStr">
        <is>
          <t>Regular</t>
        </is>
      </c>
      <c r="D32" s="35" t="n">
        <v>0</v>
      </c>
      <c r="E32" s="37">
        <f>IF(C32="Regular",MAX(B32-D32,0),0)</f>
        <v/>
      </c>
      <c r="F32" s="37">
        <f>IF(C32="Lottery",B32,0)</f>
        <v/>
      </c>
      <c r="G32" s="37">
        <f>IF(C32="Exempt",B32,0)</f>
        <v/>
      </c>
      <c r="H32" s="37">
        <f>E32+F32</f>
        <v/>
      </c>
      <c r="I32" s="38" t="inlineStr">
        <is>
          <t>s.66 — specifically listed</t>
        </is>
      </c>
      <c r="J32" s="35" t="n">
        <v>0</v>
      </c>
      <c r="K32" s="39">
        <f>IF(OR(E32+F32+G32&gt;B32+0.001,AND(C32="Lottery",D32&lt;&gt;0)),"CHECK REQUIRED","OK")</f>
        <v/>
      </c>
    </row>
    <row r="33">
      <c r="A33" s="34" t="inlineStr">
        <is>
          <t>Gift from friend / unrelated person</t>
        </is>
      </c>
      <c r="B33" s="35" t="n">
        <v>80000</v>
      </c>
      <c r="C33" s="36" t="inlineStr">
        <is>
          <t>Regular</t>
        </is>
      </c>
      <c r="D33" s="35" t="n">
        <v>0</v>
      </c>
      <c r="E33" s="37">
        <f>IF(C33="Regular",MAX(B33-D33,0),0)</f>
        <v/>
      </c>
      <c r="F33" s="37">
        <f>IF(C33="Lottery",B33,0)</f>
        <v/>
      </c>
      <c r="G33" s="37">
        <f>IF(C33="Exempt",B33,0)</f>
        <v/>
      </c>
      <c r="H33" s="37">
        <f>E33+F33</f>
        <v/>
      </c>
      <c r="I33" s="38" t="inlineStr">
        <is>
          <t>s.66 — not a specified relative</t>
        </is>
      </c>
      <c r="J33" s="35" t="n">
        <v>0</v>
      </c>
      <c r="K33" s="39">
        <f>IF(OR(E33+F33+G33&gt;B33+0.001,AND(C33="Lottery",D33&lt;&gt;0)),"CHECK REQUIRED","OK")</f>
        <v/>
      </c>
    </row>
    <row r="34">
      <c r="A34" s="34" t="inlineStr">
        <is>
          <t>Gift from spouse / parent / child (both returns)</t>
        </is>
      </c>
      <c r="B34" s="35" t="n">
        <v>200000</v>
      </c>
      <c r="C34" s="36" t="inlineStr">
        <is>
          <t>Exempt</t>
        </is>
      </c>
      <c r="D34" s="35" t="n">
        <v>0</v>
      </c>
      <c r="E34" s="37">
        <f>IF(C34="Regular",MAX(B34-D34,0),0)</f>
        <v/>
      </c>
      <c r="F34" s="37">
        <f>IF(C34="Lottery",B34,0)</f>
        <v/>
      </c>
      <c r="G34" s="37">
        <f>IF(C34="Exempt",B34,0)</f>
        <v/>
      </c>
      <c r="H34" s="37">
        <f>E34+F34</f>
        <v/>
      </c>
      <c r="I34" s="38" t="inlineStr">
        <is>
          <t>Exempt if disclosed both sides — VERIFY</t>
        </is>
      </c>
      <c r="J34" s="35" t="n">
        <v>0</v>
      </c>
      <c r="K34" s="39">
        <f>IF(OR(E34+F34+G34&gt;B34+0.001,AND(C34="Lottery",D34&lt;&gt;0)),"CHECK REQUIRED","OK")</f>
        <v/>
      </c>
    </row>
    <row r="35">
      <c r="A35" s="34" t="inlineStr">
        <is>
          <t>Examiner / miscellaneous honorarium</t>
        </is>
      </c>
      <c r="B35" s="35" t="n">
        <v>15000</v>
      </c>
      <c r="C35" s="36" t="inlineStr">
        <is>
          <t>Regular</t>
        </is>
      </c>
      <c r="D35" s="35" t="n">
        <v>0</v>
      </c>
      <c r="E35" s="37">
        <f>IF(C35="Regular",MAX(B35-D35,0),0)</f>
        <v/>
      </c>
      <c r="F35" s="37">
        <f>IF(C35="Lottery",B35,0)</f>
        <v/>
      </c>
      <c r="G35" s="37">
        <f>IF(C35="Exempt",B35,0)</f>
        <v/>
      </c>
      <c r="H35" s="37">
        <f>E35+F35</f>
        <v/>
      </c>
      <c r="I35" s="38" t="inlineStr">
        <is>
          <t>Residual — no employment relationship</t>
        </is>
      </c>
      <c r="J35" s="35" t="n">
        <v>0</v>
      </c>
      <c r="K35" s="39">
        <f>IF(OR(E35+F35+G35&gt;B35+0.001,AND(C35="Lottery",D35&lt;&gt;0)),"CHECK REQUIRED","OK")</f>
        <v/>
      </c>
    </row>
    <row r="36">
      <c r="A36" s="34" t="inlineStr">
        <is>
          <t>Deemed income (s.67) — describe</t>
        </is>
      </c>
      <c r="B36" s="35" t="n">
        <v>0</v>
      </c>
      <c r="C36" s="36" t="inlineStr">
        <is>
          <t>Regular</t>
        </is>
      </c>
      <c r="D36" s="35" t="n">
        <v>0</v>
      </c>
      <c r="E36" s="37">
        <f>IF(C36="Regular",MAX(B36-D36,0),0)</f>
        <v/>
      </c>
      <c r="F36" s="37">
        <f>IF(C36="Lottery",B36,0)</f>
        <v/>
      </c>
      <c r="G36" s="37">
        <f>IF(C36="Exempt",B36,0)</f>
        <v/>
      </c>
      <c r="H36" s="37">
        <f>E36+F36</f>
        <v/>
      </c>
      <c r="I36" s="38" t="inlineStr">
        <is>
          <t>Use when the question has a deemed item</t>
        </is>
      </c>
      <c r="J36" s="35" t="n">
        <v>0</v>
      </c>
      <c r="K36" s="39">
        <f>IF(OR(E36+F36+G36&gt;B36+0.001,AND(C36="Lottery",D36&lt;&gt;0)),"CHECK REQUIRED","OK")</f>
        <v/>
      </c>
    </row>
    <row r="37">
      <c r="A37" s="34" t="inlineStr">
        <is>
          <t>Other residual income</t>
        </is>
      </c>
      <c r="B37" s="35" t="n">
        <v>0</v>
      </c>
      <c r="C37" s="36" t="inlineStr">
        <is>
          <t>Regular</t>
        </is>
      </c>
      <c r="D37" s="35" t="n">
        <v>0</v>
      </c>
      <c r="E37" s="37">
        <f>IF(C37="Regular",MAX(B37-D37,0),0)</f>
        <v/>
      </c>
      <c r="F37" s="37">
        <f>IF(C37="Lottery",B37,0)</f>
        <v/>
      </c>
      <c r="G37" s="37">
        <f>IF(C37="Exempt",B37,0)</f>
        <v/>
      </c>
      <c r="H37" s="37">
        <f>E37+F37</f>
        <v/>
      </c>
      <c r="I37" s="38" t="inlineStr">
        <is>
          <t>Only after eliminating the other six heads</t>
        </is>
      </c>
      <c r="J37" s="35" t="n">
        <v>0</v>
      </c>
      <c r="K37" s="39">
        <f>IF(OR(E37+F37+G37&gt;B37+0.001,AND(C37="Lottery",D37&lt;&gt;0)),"CHECK REQUIRED","OK")</f>
        <v/>
      </c>
    </row>
    <row r="38">
      <c r="A38" s="34" t="inlineStr">
        <is>
          <t>Lottery / crossword / card / online-game winnings</t>
        </is>
      </c>
      <c r="B38" s="35" t="n">
        <v>40000</v>
      </c>
      <c r="C38" s="36" t="inlineStr">
        <is>
          <t>Lottery</t>
        </is>
      </c>
      <c r="D38" s="35" t="n">
        <v>0</v>
      </c>
      <c r="E38" s="37">
        <f>IF(C38="Regular",MAX(B38-D38,0),0)</f>
        <v/>
      </c>
      <c r="F38" s="37">
        <f>IF(C38="Lottery",B38,0)</f>
        <v/>
      </c>
      <c r="G38" s="37">
        <f>IF(C38="Exempt",B38,0)</f>
        <v/>
      </c>
      <c r="H38" s="37">
        <f>E38+F38</f>
        <v/>
      </c>
      <c r="I38" s="38" t="inlineStr">
        <is>
          <t>25%; no deduction even if you enter an expense</t>
        </is>
      </c>
      <c r="J38" s="35" t="n">
        <v>10000</v>
      </c>
      <c r="K38" s="39">
        <f>IF(OR(E38+F38+G38&gt;B38+0.001,AND(C38="Lottery",D38&lt;&gt;0)),"CHECK REQUIRED","OK")</f>
        <v/>
      </c>
    </row>
    <row r="39">
      <c r="A39" s="40" t="inlineStr">
        <is>
          <t>TOTALS</t>
        </is>
      </c>
      <c r="B39" s="41">
        <f>SUM(B31:B38)</f>
        <v/>
      </c>
      <c r="D39" s="41">
        <f>SUM(D31:D38)</f>
        <v/>
      </c>
      <c r="E39" s="41">
        <f>SUM(E31:E38)</f>
        <v/>
      </c>
      <c r="F39" s="41">
        <f>SUM(F31:F38)</f>
        <v/>
      </c>
      <c r="G39" s="41">
        <f>SUM(G31:G38)</f>
        <v/>
      </c>
      <c r="H39" s="41">
        <f>SUM(H31:H38)</f>
        <v/>
      </c>
      <c r="J39" s="41">
        <f>SUM(J31:J38)</f>
        <v/>
      </c>
    </row>
    <row r="41">
      <c r="A41" s="43" t="inlineStr">
        <is>
          <t>TAXABLE INCOME FROM OTHER SOURCES — regular</t>
        </is>
      </c>
      <c r="B41" s="44">
        <f>$E$39</f>
        <v/>
      </c>
    </row>
    <row r="42">
      <c r="A42" s="45" t="inlineStr">
        <is>
          <t>LOTTERY / GAME WINNINGS (special 25%, no deduction)</t>
        </is>
      </c>
      <c r="B42" s="46">
        <f>$F$39</f>
        <v/>
      </c>
    </row>
    <row r="44" ht="20" customHeight="1">
      <c r="A44" s="23" t="inlineStr">
        <is>
          <t xml:space="preserve">  D   TAX-TREATMENT TABLE</t>
        </is>
      </c>
      <c r="B44" s="23" t="n"/>
      <c r="C44" s="23" t="n"/>
      <c r="D44" s="23" t="n"/>
      <c r="E44" s="23" t="n"/>
      <c r="F44" s="23" t="n"/>
      <c r="G44" s="23" t="n"/>
      <c r="H44" s="23" t="n"/>
      <c r="I44" s="23" t="n"/>
      <c r="J44" s="23" t="n"/>
      <c r="K44" s="23" t="n"/>
      <c r="L44" s="23" t="n"/>
    </row>
    <row r="45" ht="28" customHeight="1">
      <c r="A45" s="47" t="inlineStr">
        <is>
          <t>Income item</t>
        </is>
      </c>
      <c r="B45" s="47" t="inlineStr">
        <is>
          <t>Gross amount</t>
        </is>
      </c>
      <c r="C45" s="47" t="inlineStr">
        <is>
          <t>Taxable amount</t>
        </is>
      </c>
      <c r="D45" s="47" t="inlineStr">
        <is>
          <t>Exempt amount</t>
        </is>
      </c>
      <c r="E45" s="47" t="inlineStr">
        <is>
          <t>Deduction / adjustment</t>
        </is>
      </c>
      <c r="F45" s="47" t="inlineStr">
        <is>
          <t>Net taxable amount</t>
        </is>
      </c>
      <c r="G45" s="47" t="inlineStr">
        <is>
          <t>Relevant provision</t>
        </is>
      </c>
      <c r="H45" s="47" t="inlineStr">
        <is>
          <t>Explanation</t>
        </is>
      </c>
      <c r="I45" s="47" t="inlineStr"/>
      <c r="J45" s="47" t="inlineStr"/>
      <c r="K45" s="47" t="inlineStr"/>
      <c r="L45" s="47" t="inlineStr"/>
    </row>
    <row r="46">
      <c r="A46" s="34" t="inlineStr">
        <is>
          <t>Regular other sources</t>
        </is>
      </c>
      <c r="B46" s="37">
        <f>$E$39+$G$39</f>
        <v/>
      </c>
      <c r="C46" s="37">
        <f>$E$39</f>
        <v/>
      </c>
      <c r="D46" s="37">
        <f>$G$39</f>
        <v/>
      </c>
      <c r="E46" s="37">
        <f>SUM(D31:D38)</f>
        <v/>
      </c>
      <c r="F46" s="37">
        <f>$E$39</f>
        <v/>
      </c>
      <c r="G46" t="inlineStr">
        <is>
          <t>s.66, s.68</t>
        </is>
      </c>
    </row>
    <row r="47">
      <c r="A47" s="34" t="inlineStr">
        <is>
          <t>Lottery / games</t>
        </is>
      </c>
      <c r="B47" s="37">
        <f>$F$39</f>
        <v/>
      </c>
      <c r="C47" s="37">
        <f>$F$39</f>
        <v/>
      </c>
      <c r="D47" s="37" t="n">
        <v>0</v>
      </c>
      <c r="E47" s="37" t="n">
        <v>0</v>
      </c>
      <c r="F47" s="37">
        <f>$F$39</f>
        <v/>
      </c>
      <c r="G47" t="inlineStr">
        <is>
          <t>Seventh Schedule</t>
        </is>
      </c>
      <c r="H47" t="inlineStr">
        <is>
          <t>25%; no deduction</t>
        </is>
      </c>
    </row>
    <row r="49" ht="20" customHeight="1">
      <c r="A49" s="23" t="inlineStr">
        <is>
          <t xml:space="preserve">  E   WORKED EXAMPLE  —  Mr. Md. Karim Rahman</t>
        </is>
      </c>
      <c r="B49" s="23" t="n"/>
      <c r="C49" s="23" t="n"/>
      <c r="D49" s="23" t="n"/>
      <c r="E49" s="23" t="n"/>
      <c r="F49" s="23" t="n"/>
      <c r="G49" s="23" t="n"/>
      <c r="H49" s="23" t="n"/>
      <c r="I49" s="23" t="n"/>
      <c r="J49" s="23" t="n"/>
      <c r="K49" s="23" t="n"/>
      <c r="L49" s="23" t="n"/>
    </row>
    <row r="50" ht="32" customHeight="1">
      <c r="A50" s="32" t="inlineStr">
        <is>
          <t>STEP 1 — FACTS. Royalty 100,000 (collection cost 5,000); government cash incentive 50,000; gift from a college friend 80,000; gift from father 200,000 (shown in both returns); examiner honorarium 15,000; lottery prize 40,000 (TDS 10,000).</t>
        </is>
      </c>
      <c r="B50" s="33" t="n"/>
      <c r="C50" s="33" t="n"/>
      <c r="D50" s="33" t="n"/>
      <c r="E50" s="33" t="n"/>
      <c r="F50" s="33" t="n"/>
      <c r="G50" s="33" t="n"/>
      <c r="H50" s="33" t="n"/>
      <c r="I50" s="33" t="n"/>
      <c r="J50" s="33" t="n"/>
      <c r="K50" s="33" t="n"/>
      <c r="L50" s="33" t="n"/>
    </row>
    <row r="51" ht="28" customHeight="1">
      <c r="A51" s="48" t="inlineStr">
        <is>
          <t>STEP 2–4. Regular OS = (100,000 − 5,000) + 50,000 + 80,000 + 15,000 = 240,000. Father's gift exempt. Lottery 40,000 at 25% with no deduction. TAXABLE OS = 240,000 (regular) + 40,000 (lottery).</t>
        </is>
      </c>
      <c r="B51" s="49" t="n"/>
      <c r="C51" s="49" t="n"/>
      <c r="D51" s="49" t="n"/>
      <c r="E51" s="49" t="n"/>
      <c r="F51" s="49" t="n"/>
      <c r="G51" s="49" t="n"/>
      <c r="H51" s="49" t="n"/>
      <c r="I51" s="49" t="n"/>
      <c r="J51" s="49" t="n"/>
      <c r="K51" s="49" t="n"/>
      <c r="L51" s="49" t="n"/>
    </row>
    <row r="52">
      <c r="A52" s="19" t="inlineStr">
        <is>
          <t>Regular OS (live)</t>
        </is>
      </c>
      <c r="B52" s="37">
        <f>$E$39</f>
        <v/>
      </c>
      <c r="C52" s="19" t="inlineStr">
        <is>
          <t>Lottery (live)</t>
        </is>
      </c>
      <c r="D52" s="37">
        <f>$F$39</f>
        <v/>
      </c>
    </row>
    <row r="54" ht="36" customHeight="1">
      <c r="A54" s="52" t="inlineStr">
        <is>
          <t>STEP 5 — WHY. Royalty is listed in s.66 and he is not in the business of licensing. The friend's gift is not from a specified relative. The father's gift is exempt only because both returns disclose it — if the question is silent on disclosure, state the assumption. Lottery cannot be reduced by ticket cost. Bank interest is not on this sheet (Financial Assets).</t>
        </is>
      </c>
      <c r="B54" s="53" t="n"/>
      <c r="C54" s="53" t="n"/>
      <c r="D54" s="53" t="n"/>
      <c r="E54" s="53" t="n"/>
      <c r="F54" s="53" t="n"/>
      <c r="G54" s="53" t="n"/>
      <c r="H54" s="53" t="n"/>
      <c r="I54" s="53" t="n"/>
      <c r="J54" s="53" t="n"/>
      <c r="K54" s="53" t="n"/>
      <c r="L54" s="53" t="n"/>
    </row>
    <row r="56" ht="20" customHeight="1">
      <c r="A56" s="23" t="inlineStr">
        <is>
          <t xml:space="preserve">  F   ICAB EXAM TIPS</t>
        </is>
      </c>
      <c r="B56" s="23" t="n"/>
      <c r="C56" s="23" t="n"/>
      <c r="D56" s="23" t="n"/>
      <c r="E56" s="23" t="n"/>
      <c r="F56" s="23" t="n"/>
      <c r="G56" s="23" t="n"/>
      <c r="H56" s="23" t="n"/>
      <c r="I56" s="23" t="n"/>
      <c r="J56" s="23" t="n"/>
      <c r="K56" s="23" t="n"/>
      <c r="L56" s="23" t="n"/>
    </row>
    <row r="57" ht="26" customHeight="1">
      <c r="A57" s="52" t="inlineStr">
        <is>
          <t>1.  Ask 'could this be one of the other six heads?' before you put it here.</t>
        </is>
      </c>
      <c r="B57" s="53" t="n"/>
      <c r="C57" s="53" t="n"/>
      <c r="D57" s="53" t="n"/>
      <c r="E57" s="53" t="n"/>
      <c r="F57" s="53" t="n"/>
      <c r="G57" s="53" t="n"/>
      <c r="H57" s="53" t="n"/>
      <c r="I57" s="53" t="n"/>
      <c r="J57" s="53" t="n"/>
      <c r="K57" s="53" t="n"/>
      <c r="L57" s="53" t="n"/>
    </row>
    <row r="58" ht="26" customHeight="1">
      <c r="A58" s="54" t="inlineStr">
        <is>
          <t>2.  Relative-gift exemption needs disclosure in both returns — write that condition.</t>
        </is>
      </c>
      <c r="B58" s="55" t="n"/>
      <c r="C58" s="55" t="n"/>
      <c r="D58" s="55" t="n"/>
      <c r="E58" s="55" t="n"/>
      <c r="F58" s="55" t="n"/>
      <c r="G58" s="55" t="n"/>
      <c r="H58" s="55" t="n"/>
      <c r="I58" s="55" t="n"/>
      <c r="J58" s="55" t="n"/>
      <c r="K58" s="55" t="n"/>
      <c r="L58" s="55" t="n"/>
    </row>
    <row r="59" ht="26" customHeight="1">
      <c r="A59" s="52" t="inlineStr">
        <is>
          <t>3.  Lottery: quote the 25% rate and write 'no deduction' in the working.</t>
        </is>
      </c>
      <c r="B59" s="53" t="n"/>
      <c r="C59" s="53" t="n"/>
      <c r="D59" s="53" t="n"/>
      <c r="E59" s="53" t="n"/>
      <c r="F59" s="53" t="n"/>
      <c r="G59" s="53" t="n"/>
      <c r="H59" s="53" t="n"/>
      <c r="I59" s="53" t="n"/>
      <c r="J59" s="53" t="n"/>
      <c r="K59" s="53" t="n"/>
      <c r="L59" s="53" t="n"/>
    </row>
    <row r="60" ht="26" customHeight="1">
      <c r="A60" s="54" t="inlineStr">
        <is>
          <t>4.  Do not put FDR interest or dividend here. That is Chapter VII.</t>
        </is>
      </c>
      <c r="B60" s="55" t="n"/>
      <c r="C60" s="55" t="n"/>
      <c r="D60" s="55" t="n"/>
      <c r="E60" s="55" t="n"/>
      <c r="F60" s="55" t="n"/>
      <c r="G60" s="55" t="n"/>
      <c r="H60" s="55" t="n"/>
      <c r="I60" s="55" t="n"/>
      <c r="J60" s="55" t="n"/>
      <c r="K60" s="55" t="n"/>
      <c r="L60" s="55" t="n"/>
    </row>
    <row r="61" ht="26" customHeight="1">
      <c r="A61" s="52" t="inlineStr">
        <is>
          <t>5.  A director may be an employee under s.2 — sitting fee can be employment. Read the facts.</t>
        </is>
      </c>
      <c r="B61" s="53" t="n"/>
      <c r="C61" s="53" t="n"/>
      <c r="D61" s="53" t="n"/>
      <c r="E61" s="53" t="n"/>
      <c r="F61" s="53" t="n"/>
      <c r="G61" s="53" t="n"/>
      <c r="H61" s="53" t="n"/>
      <c r="I61" s="53" t="n"/>
      <c r="J61" s="53" t="n"/>
      <c r="K61" s="53" t="n"/>
      <c r="L61" s="53" t="n"/>
    </row>
    <row r="62" ht="26" customHeight="1">
      <c r="A62" s="54" t="inlineStr">
        <is>
          <t>6.  s.67 deemed items are easy marks if you identify them (cash loan, asset below FMV, unexplained credit).</t>
        </is>
      </c>
      <c r="B62" s="55" t="n"/>
      <c r="C62" s="55" t="n"/>
      <c r="D62" s="55" t="n"/>
      <c r="E62" s="55" t="n"/>
      <c r="F62" s="55" t="n"/>
      <c r="G62" s="55" t="n"/>
      <c r="H62" s="55" t="n"/>
      <c r="I62" s="55" t="n"/>
      <c r="J62" s="55" t="n"/>
      <c r="K62" s="55" t="n"/>
      <c r="L62" s="55" t="n"/>
    </row>
    <row r="63" ht="26" customHeight="1">
      <c r="A63" s="52" t="inlineStr">
        <is>
          <t>7.  Collection expenses are allowed only against the income they earn, and never against lottery.</t>
        </is>
      </c>
      <c r="B63" s="53" t="n"/>
      <c r="C63" s="53" t="n"/>
      <c r="D63" s="53" t="n"/>
      <c r="E63" s="53" t="n"/>
      <c r="F63" s="53" t="n"/>
      <c r="G63" s="53" t="n"/>
      <c r="H63" s="53" t="n"/>
      <c r="I63" s="53" t="n"/>
      <c r="J63" s="53" t="n"/>
      <c r="K63" s="53" t="n"/>
      <c r="L63" s="53" t="n"/>
    </row>
    <row r="64" ht="26" customHeight="1">
      <c r="A64" s="54" t="inlineStr">
        <is>
          <t>8.  Cash incentive is often forgotten or dumped into business — s.66 lists it here unless the question clearly treats it as business receipts.</t>
        </is>
      </c>
      <c r="B64" s="55" t="n"/>
      <c r="C64" s="55" t="n"/>
      <c r="D64" s="55" t="n"/>
      <c r="E64" s="55" t="n"/>
      <c r="F64" s="55" t="n"/>
      <c r="G64" s="55" t="n"/>
      <c r="H64" s="55" t="n"/>
      <c r="I64" s="55" t="n"/>
      <c r="J64" s="55" t="n"/>
      <c r="K64" s="55" t="n"/>
      <c r="L64" s="55" t="n"/>
    </row>
    <row r="66" ht="20" customHeight="1">
      <c r="A66" s="23" t="inlineStr">
        <is>
          <t xml:space="preserve">  G   ASSUMPTIONS / NOTES</t>
        </is>
      </c>
      <c r="B66" s="23" t="n"/>
      <c r="C66" s="23" t="n"/>
      <c r="D66" s="23" t="n"/>
      <c r="E66" s="23" t="n"/>
      <c r="F66" s="23" t="n"/>
      <c r="G66" s="23" t="n"/>
      <c r="H66" s="23" t="n"/>
      <c r="I66" s="23" t="n"/>
      <c r="J66" s="23" t="n"/>
      <c r="K66" s="23" t="n"/>
      <c r="L66" s="23" t="n"/>
    </row>
    <row r="67" ht="32" customHeight="1">
      <c r="A67" s="56" t="inlineStr">
        <is>
          <t>1.  Lottery rate is P_LotteryRate on the Home sheet.</t>
        </is>
      </c>
      <c r="B67" s="57" t="n"/>
      <c r="C67" s="57" t="n"/>
      <c r="D67" s="57" t="n"/>
      <c r="E67" s="57" t="n"/>
      <c r="F67" s="57" t="n"/>
      <c r="G67" s="57" t="n"/>
      <c r="H67" s="57" t="n"/>
      <c r="I67" s="57" t="n"/>
      <c r="J67" s="57" t="n"/>
      <c r="K67" s="57" t="n"/>
      <c r="L67" s="57" t="n"/>
    </row>
    <row r="68" ht="32" customHeight="1">
      <c r="A68" s="56" t="inlineStr">
        <is>
          <t>2.  s.67 list is summarised from practitioner sources (PwC). Tick 'VERIFY' against your reprint before quoting a specific clause number in the exam.</t>
        </is>
      </c>
      <c r="B68" s="57" t="n"/>
      <c r="C68" s="57" t="n"/>
      <c r="D68" s="57" t="n"/>
      <c r="E68" s="57" t="n"/>
      <c r="F68" s="57" t="n"/>
      <c r="G68" s="57" t="n"/>
      <c r="H68" s="57" t="n"/>
      <c r="I68" s="57" t="n"/>
      <c r="J68" s="57" t="n"/>
      <c r="K68" s="57" t="n"/>
      <c r="L68" s="57" t="n"/>
    </row>
    <row r="69" ht="32" customHeight="1">
      <c r="A69" s="56" t="inlineStr">
        <is>
          <t>3.  Sibling gifts: FO 2025 materials mention gifts from spouse, parents, children and (in some summaries) siblings. Default example treats only spouse/parent/child as exempt. Sibling: VERIFY.</t>
        </is>
      </c>
      <c r="B69" s="57" t="n"/>
      <c r="C69" s="57" t="n"/>
      <c r="D69" s="57" t="n"/>
      <c r="E69" s="57" t="n"/>
      <c r="F69" s="57" t="n"/>
      <c r="G69" s="57" t="n"/>
      <c r="H69" s="57" t="n"/>
      <c r="I69" s="57" t="n"/>
      <c r="J69" s="57" t="n"/>
      <c r="K69" s="57" t="n"/>
      <c r="L69" s="57" t="n"/>
    </row>
    <row r="71" ht="20" customHeight="1">
      <c r="A71" s="23" t="inlineStr">
        <is>
          <t xml:space="preserve">  H   LEGAL REFERENCES</t>
        </is>
      </c>
      <c r="B71" s="23" t="n"/>
      <c r="C71" s="23" t="n"/>
      <c r="D71" s="23" t="n"/>
      <c r="E71" s="23" t="n"/>
      <c r="F71" s="23" t="n"/>
      <c r="G71" s="23" t="n"/>
      <c r="H71" s="23" t="n"/>
      <c r="I71" s="23" t="n"/>
      <c r="J71" s="23" t="n"/>
      <c r="K71" s="23" t="n"/>
      <c r="L71" s="23" t="n"/>
    </row>
    <row r="72" ht="16" customHeight="1">
      <c r="A72" s="58" t="inlineStr">
        <is>
          <t>•  ITA 2023 ss.66–69.</t>
        </is>
      </c>
    </row>
    <row r="73" ht="16" customHeight="1">
      <c r="A73" s="58" t="inlineStr">
        <is>
          <t>•  Seventh Schedule — lottery 25%. VERIFY.</t>
        </is>
      </c>
    </row>
    <row r="74" ht="16" customHeight="1">
      <c r="A74" s="58" t="inlineStr">
        <is>
          <t>•  Sixth Schedule — gift from specified relatives. VERIFY paragraph.</t>
        </is>
      </c>
    </row>
    <row r="75" ht="16" customHeight="1">
      <c r="A75" s="58" t="inlineStr">
        <is>
          <t>•  s.150 — credit of TDS on winnings.</t>
        </is>
      </c>
    </row>
  </sheetData>
  <mergeCells count="46">
    <mergeCell ref="D21:L21"/>
    <mergeCell ref="A16:L16"/>
    <mergeCell ref="A54:L54"/>
    <mergeCell ref="D27:L27"/>
    <mergeCell ref="G6:I6"/>
    <mergeCell ref="A75:L75"/>
    <mergeCell ref="A66:L66"/>
    <mergeCell ref="A74:L74"/>
    <mergeCell ref="A56:L56"/>
    <mergeCell ref="A12:L12"/>
    <mergeCell ref="A50:L50"/>
    <mergeCell ref="A57:L57"/>
    <mergeCell ref="A2:L2"/>
    <mergeCell ref="A71:L71"/>
    <mergeCell ref="A8:L8"/>
    <mergeCell ref="A14:L14"/>
    <mergeCell ref="D18:L18"/>
    <mergeCell ref="D25:L25"/>
    <mergeCell ref="A62:L62"/>
    <mergeCell ref="D24:L24"/>
    <mergeCell ref="A72:L72"/>
    <mergeCell ref="A29:L29"/>
    <mergeCell ref="A10:L10"/>
    <mergeCell ref="D23:L23"/>
    <mergeCell ref="A63:L63"/>
    <mergeCell ref="A68:L68"/>
    <mergeCell ref="A13:L13"/>
    <mergeCell ref="A44:L44"/>
    <mergeCell ref="A58:L58"/>
    <mergeCell ref="D26:L26"/>
    <mergeCell ref="A9:L9"/>
    <mergeCell ref="A67:L67"/>
    <mergeCell ref="D20:L20"/>
    <mergeCell ref="C6:E6"/>
    <mergeCell ref="A59:L59"/>
    <mergeCell ref="A73:L73"/>
    <mergeCell ref="D19:L19"/>
    <mergeCell ref="A64:L64"/>
    <mergeCell ref="A60:L60"/>
    <mergeCell ref="A11:L11"/>
    <mergeCell ref="A49:L49"/>
    <mergeCell ref="A51:L51"/>
    <mergeCell ref="A1:L1"/>
    <mergeCell ref="D22:L22"/>
    <mergeCell ref="A61:L61"/>
    <mergeCell ref="A69:L69"/>
  </mergeCells>
  <dataValidations count="1">
    <dataValidation sqref="C31:C38" showDropDown="0" showInputMessage="0" showErrorMessage="0" allowBlank="1" errorTitle="Invalid entry" error="Select a value from the list" promptTitle="Input" prompt="Select from the list" type="list">
      <formula1>"Regular,Lottery,Exempt"</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s>
  <pageMargins left="0.45" right="0.45" top="0.6" bottom="0.55" header="0.25" footer="0.25"/>
  <pageSetup orientation="landscape" paperSize="9" fitToHeight="0" fitToWidth="1"/>
  <headerFooter>
    <oddHeader>&amp;L&amp;8ICAB Professional Taxation  |  Income from Other Sources</oddHeader>
    <oddFooter>&amp;L&amp;8Bangladesh Income Tax Act, 2023  |  For study / exam practice — verify Finance Act of the exam year&amp;R&amp;8Page &amp;P of &amp;N</oddFooter>
    <evenHeader/>
    <evenFooter/>
    <firstHeader/>
    <firstFooter/>
  </headerFooter>
</worksheet>
</file>

<file path=xl/worksheets/sheet8.xml><?xml version="1.0" encoding="utf-8"?>
<worksheet xmlns="http://schemas.openxmlformats.org/spreadsheetml/2006/main">
  <sheetPr>
    <tabColor rgb="000D1B2A"/>
    <outlinePr summaryBelow="1" summaryRight="1"/>
    <pageSetUpPr fitToPage="1"/>
  </sheetPr>
  <dimension ref="A1:L176"/>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 width="20" customWidth="1" min="7" max="7"/>
    <col width="16" customWidth="1" min="8" max="8"/>
    <col width="16" customWidth="1" min="9" max="9"/>
    <col width="16" customWidth="1" min="10" max="10"/>
    <col width="16" customWidth="1" min="11" max="11"/>
    <col width="28" customWidth="1" min="12" max="12"/>
  </cols>
  <sheetData>
    <row r="1" ht="26" customHeight="1">
      <c r="A1" s="1" t="inlineStr">
        <is>
          <t>ICAB PROFESSIONAL LEVEL  ·  BUSINESS PLANNING: TAXATION &amp; COMPLIANCE  ·  7 HEADS OF INCOME</t>
        </is>
      </c>
      <c r="B1" s="2" t="n"/>
      <c r="C1" s="2" t="n"/>
      <c r="D1" s="2" t="n"/>
      <c r="E1" s="2" t="n"/>
      <c r="F1" s="2" t="n"/>
      <c r="G1" s="2" t="n"/>
      <c r="H1" s="2" t="n"/>
      <c r="I1" s="2" t="n"/>
      <c r="J1" s="2" t="n"/>
      <c r="K1" s="2" t="n"/>
      <c r="L1" s="2" t="n"/>
    </row>
    <row r="2" ht="16" customHeight="1">
      <c r="A2" s="3" t="inlineStr">
        <is>
          <t>Comprehensive Income Tax Computation  |  Bangladesh Income Tax Act, 2023  |  Default: Income Year 2025-26  /  Assessment Year 2026-27  |  All amounts in BDT (৳)</t>
        </is>
      </c>
      <c r="B2" s="4" t="n"/>
      <c r="C2" s="4" t="n"/>
      <c r="D2" s="4" t="n"/>
      <c r="E2" s="4" t="n"/>
      <c r="F2" s="4" t="n"/>
      <c r="G2" s="4" t="n"/>
      <c r="H2" s="4" t="n"/>
      <c r="I2" s="4" t="n"/>
      <c r="J2" s="4" t="n"/>
      <c r="K2" s="4" t="n"/>
      <c r="L2" s="4" t="n"/>
    </row>
    <row r="3" ht="18" customHeight="1">
      <c r="A3" s="6" t="inlineStr">
        <is>
          <t>HOME / Summary</t>
        </is>
      </c>
      <c r="B3" s="5" t="inlineStr">
        <is>
          <t>Employment</t>
        </is>
      </c>
      <c r="C3" s="5" t="inlineStr">
        <is>
          <t>Financial Assets</t>
        </is>
      </c>
      <c r="D3" s="5" t="inlineStr">
        <is>
          <t>Rent</t>
        </is>
      </c>
      <c r="E3" s="5" t="inlineStr">
        <is>
          <t>Agriculture</t>
        </is>
      </c>
      <c r="F3" s="5" t="inlineStr">
        <is>
          <t>Business</t>
        </is>
      </c>
      <c r="G3" s="5" t="inlineStr">
        <is>
          <t>Capital Gain</t>
        </is>
      </c>
      <c r="H3" s="5" t="inlineStr">
        <is>
          <t>Other Sources</t>
        </is>
      </c>
      <c r="I3" s="7" t="n"/>
      <c r="J3" s="7" t="n"/>
      <c r="K3" s="7" t="n"/>
      <c r="L3" s="7" t="n"/>
    </row>
    <row r="4" ht="16" customHeight="1">
      <c r="A4" s="8" t="inlineStr">
        <is>
          <t xml:space="preserve">  Blue = User input</t>
        </is>
      </c>
      <c r="B4" s="9" t="n"/>
      <c r="C4" s="10" t="inlineStr">
        <is>
          <t xml:space="preserve">  Green = Formula / calculated</t>
        </is>
      </c>
      <c r="D4" s="11" t="n"/>
      <c r="E4" s="12" t="inlineStr">
        <is>
          <t xml:space="preserve">  Yellow = Assumption / note</t>
        </is>
      </c>
      <c r="F4" s="13" t="n"/>
      <c r="G4" s="14" t="inlineStr">
        <is>
          <t xml:space="preserve">  Grey = Heading / reference</t>
        </is>
      </c>
      <c r="H4" s="15" t="n"/>
      <c r="I4" s="16" t="inlineStr">
        <is>
          <t xml:space="preserve">  Red = Warning / disallowable / special</t>
        </is>
      </c>
      <c r="J4" s="17" t="n"/>
      <c r="K4" s="18" t="n"/>
      <c r="L4" s="18" t="n"/>
    </row>
    <row r="6" ht="20" customHeight="1">
      <c r="A6" s="23" t="inlineStr">
        <is>
          <t xml:space="preserve">  0   HOW TO USE THIS WORKBOOK  ·  CONTROL PANEL  ·  TAX YEAR ASSUMPTIONS</t>
        </is>
      </c>
      <c r="B6" s="23" t="n"/>
      <c r="C6" s="23" t="n"/>
      <c r="D6" s="23" t="n"/>
      <c r="E6" s="23" t="n"/>
      <c r="F6" s="23" t="n"/>
      <c r="G6" s="23" t="n"/>
      <c r="H6" s="23" t="n"/>
      <c r="I6" s="23" t="n"/>
      <c r="J6" s="23" t="n"/>
      <c r="K6" s="23" t="n"/>
      <c r="L6" s="23" t="n"/>
    </row>
    <row r="7" ht="36" customHeight="1">
      <c r="A7" s="24" t="inlineStr">
        <is>
          <t>This workbook is a study + practice + computation template for ICAB Professional Level. BLUE cells are inputs (overwrite them to solve any exam question). GREEN cells are formulas — do not type over them. Sheets 1–7 compute each head. This sheet pulls those outputs automatically and computes total income and tax liability. Yellow cells flag assumptions that depend on the Finance Act / SRO of the exam year — always verify those before an exam. Withholding tax (TDS/VDS) is a TAX CREDIT / payment, not a deduction from income.</t>
        </is>
      </c>
      <c r="B7" s="25" t="n"/>
      <c r="C7" s="25" t="n"/>
      <c r="D7" s="25" t="n"/>
      <c r="E7" s="25" t="n"/>
      <c r="F7" s="25" t="n"/>
      <c r="G7" s="25" t="n"/>
      <c r="H7" s="25" t="n"/>
      <c r="I7" s="25" t="n"/>
      <c r="J7" s="25" t="n"/>
      <c r="K7" s="25" t="n"/>
      <c r="L7" s="25" t="n"/>
    </row>
    <row r="9" ht="16" customHeight="1">
      <c r="A9" s="42" t="inlineStr">
        <is>
          <t xml:space="preserve">  TAXPAYER IDENTITY  (user input — pre-filled with the integrated example)</t>
        </is>
      </c>
      <c r="B9" s="42" t="n"/>
      <c r="C9" s="42" t="n"/>
      <c r="D9" s="42" t="n"/>
      <c r="E9" s="42" t="n"/>
      <c r="F9" s="42" t="n"/>
      <c r="G9" s="42" t="n"/>
      <c r="H9" s="42" t="n"/>
      <c r="I9" s="42" t="n"/>
      <c r="J9" s="42" t="n"/>
      <c r="K9" s="42" t="n"/>
      <c r="L9" s="42" t="n"/>
    </row>
    <row r="10">
      <c r="A10" s="19" t="inlineStr">
        <is>
          <t>Assessee name</t>
        </is>
      </c>
      <c r="B10" s="36" t="inlineStr">
        <is>
          <t>Mr. Md. Karim Rahman</t>
        </is>
      </c>
      <c r="C10" s="22" t="n"/>
      <c r="J10" s="62" t="inlineStr">
        <is>
          <t>CATEGORY LOOKUP (do not delete)</t>
        </is>
      </c>
      <c r="K10" s="63" t="inlineStr">
        <is>
          <t>Threshold</t>
        </is>
      </c>
    </row>
    <row r="11">
      <c r="A11" s="19" t="inlineStr">
        <is>
          <t>TIN (optional)</t>
        </is>
      </c>
      <c r="B11" s="36" t="inlineStr">
        <is>
          <t>123-456-789-012</t>
        </is>
      </c>
      <c r="C11" s="22" t="n"/>
      <c r="J11" s="64" t="inlineStr">
        <is>
          <t>General (male, under 65)</t>
        </is>
      </c>
      <c r="K11" s="65" t="n">
        <v>375000</v>
      </c>
    </row>
    <row r="12">
      <c r="A12" s="19" t="inlineStr">
        <is>
          <t>Residential status</t>
        </is>
      </c>
      <c r="B12" s="36" t="inlineStr">
        <is>
          <t>Resident</t>
        </is>
      </c>
      <c r="C12" s="22" t="n"/>
      <c r="J12" s="64" t="inlineStr">
        <is>
          <t>Woman / Senior citizen (65+)</t>
        </is>
      </c>
      <c r="K12" s="65" t="n">
        <v>425000</v>
      </c>
    </row>
    <row r="13">
      <c r="A13" s="19" t="inlineStr">
        <is>
          <t>Taxpayer category</t>
        </is>
      </c>
      <c r="B13" s="36" t="inlineStr">
        <is>
          <t>General (male, under 65)</t>
        </is>
      </c>
      <c r="C13" s="22" t="n"/>
      <c r="J13" s="64" t="inlineStr">
        <is>
          <t>Third gender</t>
        </is>
      </c>
      <c r="K13" s="65" t="n">
        <v>500000</v>
      </c>
    </row>
    <row r="14">
      <c r="A14" s="19" t="inlineStr">
        <is>
          <t>Parent / guardian of a person with disability?</t>
        </is>
      </c>
      <c r="B14" s="36" t="inlineStr">
        <is>
          <t>No</t>
        </is>
      </c>
      <c r="C14" s="22" t="n"/>
      <c r="J14" s="64" t="inlineStr">
        <is>
          <t>Person with disability</t>
        </is>
      </c>
      <c r="K14" s="65" t="n">
        <v>500000</v>
      </c>
    </row>
    <row r="15">
      <c r="A15" s="19" t="inlineStr">
        <is>
          <t>New taxpayer this year?</t>
        </is>
      </c>
      <c r="B15" s="36" t="inlineStr">
        <is>
          <t>No</t>
        </is>
      </c>
      <c r="C15" s="22" t="n"/>
      <c r="J15" s="64" t="inlineStr">
        <is>
          <t>Gazetted freedom fighter / July Warrior</t>
        </is>
      </c>
      <c r="K15" s="65" t="n">
        <v>525000</v>
      </c>
    </row>
    <row r="16">
      <c r="A16" s="19" t="inlineStr">
        <is>
          <t>Location (for information)</t>
        </is>
      </c>
      <c r="B16" s="36" t="inlineStr">
        <is>
          <t>Dhaka South City Corporation</t>
        </is>
      </c>
      <c r="C16" s="22" t="n"/>
    </row>
    <row r="17">
      <c r="A17" s="19" t="inlineStr">
        <is>
          <t>Shareholder-director of a company?</t>
        </is>
      </c>
      <c r="B17" s="36" t="inlineStr">
        <is>
          <t>No</t>
        </is>
      </c>
      <c r="C17" s="22" t="n"/>
    </row>
    <row r="18">
      <c r="A18" s="19" t="inlineStr">
        <is>
          <t>Government employee?</t>
        </is>
      </c>
      <c r="B18" s="36" t="inlineStr">
        <is>
          <t>No</t>
        </is>
      </c>
      <c r="C18" s="22" t="n"/>
    </row>
    <row r="19">
      <c r="A19" s="19" t="inlineStr">
        <is>
          <t>Income year (IY)</t>
        </is>
      </c>
      <c r="B19" s="36" t="inlineStr">
        <is>
          <t>2025-26</t>
        </is>
      </c>
    </row>
    <row r="20">
      <c r="A20" s="19" t="inlineStr">
        <is>
          <t>Assessment year (AY)</t>
        </is>
      </c>
      <c r="B20" s="36" t="inlineStr">
        <is>
          <t>2026-27</t>
        </is>
      </c>
    </row>
    <row r="22" ht="16" customHeight="1">
      <c r="A22" s="42" t="inlineStr">
        <is>
          <t xml:space="preserve">  STATUTORY PARAMETERS  (edit these when the Finance Act of your exam year differs)</t>
        </is>
      </c>
      <c r="B22" s="42" t="n"/>
      <c r="C22" s="42" t="n"/>
      <c r="D22" s="42" t="n"/>
      <c r="E22" s="42" t="n"/>
      <c r="F22" s="42" t="n"/>
      <c r="G22" s="42" t="n"/>
      <c r="H22" s="42" t="n"/>
      <c r="I22" s="42" t="n"/>
      <c r="J22" s="42" t="n"/>
      <c r="K22" s="42" t="n"/>
      <c r="L22" s="42" t="n"/>
    </row>
    <row r="23">
      <c r="A23" s="19" t="inlineStr">
        <is>
          <t>Tax-free threshold (first slab, BDT)</t>
        </is>
      </c>
      <c r="B23" s="37">
        <f>IFERROR(VLOOKUP($B$13,$J$11:$K$15,2,FALSE),375000)+IF($B$14="Yes",50000,0)</f>
        <v/>
      </c>
      <c r="C23" s="38" t="inlineStr">
        <is>
          <t>Formula: category table + BDT 50,000 if parent/guardian of a person with disability (one parent only). Default AY 2026-27 (Finance Ordinance 2025). Finance Act 2026 sources also mention BDT 400,000 for general taxpayers — VERIFY.</t>
        </is>
      </c>
      <c r="D23" s="21" t="n"/>
      <c r="E23" s="21" t="n"/>
      <c r="F23" s="21" t="n"/>
      <c r="G23" s="21" t="n"/>
      <c r="H23" s="22" t="n"/>
    </row>
    <row r="24">
      <c r="A24" s="19" t="inlineStr">
        <is>
          <t>Employment exemption cap (BDT)</t>
        </is>
      </c>
      <c r="B24" s="35" t="n">
        <v>500000</v>
      </c>
      <c r="C24" s="38" t="inlineStr">
        <is>
          <t>Lower of 1/3 of income from employment or this cap. FO 2025 raised the cap from 450,000 to 500,000. VERIFY for exam year. Sixth Schedule, Part A.</t>
        </is>
      </c>
      <c r="D24" s="21" t="n"/>
      <c r="E24" s="21" t="n"/>
      <c r="F24" s="21" t="n"/>
      <c r="G24" s="21" t="n"/>
      <c r="H24" s="22" t="n"/>
    </row>
    <row r="25">
      <c r="A25" s="19" t="inlineStr">
        <is>
          <t>Agricultural exemption (sole agri + financial assets) (BDT)</t>
        </is>
      </c>
      <c r="B25" s="35" t="n">
        <v>500000</v>
      </c>
      <c r="C25" s="38" t="inlineStr">
        <is>
          <t>FO 2025: agri income up to this amount is exempt IF the assessee has no income other than agriculture and financial assets. VERIFY conditions and amount.</t>
        </is>
      </c>
      <c r="D25" s="21" t="n"/>
      <c r="E25" s="21" t="n"/>
      <c r="F25" s="21" t="n"/>
      <c r="G25" s="21" t="n"/>
      <c r="H25" s="22" t="n"/>
    </row>
    <row r="26">
      <c r="A26" s="19" t="inlineStr">
        <is>
          <t>Listed-share capital-gain exemption (BDT)</t>
        </is>
      </c>
      <c r="B26" s="35" t="n">
        <v>5000000</v>
      </c>
      <c r="C26" s="38" t="inlineStr">
        <is>
          <t>PwC / ITA 2023 practice: CG on listed shares/units exempt if gain does not exceed this amount, except sponsor / director / placement shares. VERIFY.</t>
        </is>
      </c>
      <c r="D26" s="21" t="n"/>
      <c r="E26" s="21" t="n"/>
      <c r="F26" s="21" t="n"/>
      <c r="G26" s="21" t="n"/>
      <c r="H26" s="22" t="n"/>
    </row>
    <row r="27">
      <c r="A27" s="19" t="inlineStr">
        <is>
          <t>Dividend special rate</t>
        </is>
      </c>
      <c r="B27" s="66" t="n">
        <v>0.15</v>
      </c>
      <c r="C27" s="38" t="inlineStr">
        <is>
          <t>Individual: dividend generally taxed at 15% (special rate). Do not put dividend into the regular slab. VERIFY Seventh Schedule / Finance Act.</t>
        </is>
      </c>
      <c r="D27" s="21" t="n"/>
      <c r="E27" s="21" t="n"/>
      <c r="F27" s="21" t="n"/>
      <c r="G27" s="21" t="n"/>
      <c r="H27" s="22" t="n"/>
    </row>
    <row r="28">
      <c r="A28" s="19" t="inlineStr">
        <is>
          <t>Lottery / game-winning special rate</t>
        </is>
      </c>
      <c r="B28" s="66" t="n">
        <v>0.25</v>
      </c>
      <c r="C28" s="38" t="inlineStr">
        <is>
          <t>Winnings from lottery, crossword, card/online games: 25% on the receipt; no deduction. VERIFY Seventh Schedule.</t>
        </is>
      </c>
      <c r="D28" s="21" t="n"/>
      <c r="E28" s="21" t="n"/>
      <c r="F28" s="21" t="n"/>
      <c r="G28" s="21" t="n"/>
      <c r="H28" s="22" t="n"/>
    </row>
    <row r="29">
      <c r="A29" s="19" t="inlineStr">
        <is>
          <t>Long-term capital gain rate (held &gt; 5 years)</t>
        </is>
      </c>
      <c r="B29" s="66" t="n">
        <v>0.15</v>
      </c>
      <c r="C29" s="38" t="inlineStr">
        <is>
          <t>Transfer after more than 5 years: 15%, or tax deducted at registration (s.125) if higher (treated as minimum tax s.163). VERIFY.</t>
        </is>
      </c>
      <c r="D29" s="21" t="n"/>
      <c r="E29" s="21" t="n"/>
      <c r="F29" s="21" t="n"/>
      <c r="G29" s="21" t="n"/>
      <c r="H29" s="22" t="n"/>
    </row>
    <row r="30">
      <c r="A30" s="19" t="inlineStr">
        <is>
          <t>Listed-share CG rate (if exemption not available)</t>
        </is>
      </c>
      <c r="B30" s="66" t="n">
        <v>0.15</v>
      </c>
      <c r="C30" s="38" t="inlineStr">
        <is>
          <t>Listed-share CG that is not exempt is generally 15% (not the regular slab). Sponsor/director/placement: different treatment — VERIFY.</t>
        </is>
      </c>
      <c r="D30" s="21" t="n"/>
      <c r="E30" s="21" t="n"/>
      <c r="F30" s="21" t="n"/>
      <c r="G30" s="21" t="n"/>
      <c r="H30" s="22" t="n"/>
    </row>
    <row r="31">
      <c r="A31" s="19" t="inlineStr">
        <is>
          <t>Investment rebate — % of eligible total income</t>
        </is>
      </c>
      <c r="B31" s="66" t="n">
        <v>0.03</v>
      </c>
      <c r="C31" s="38" t="inlineStr">
        <is>
          <t>Lowest of (a) this % of eligible total income, (b) % of eligible investment, (c) absolute cap. Eligible income excludes exempt, reduced/final-rate income and (typically) firm/AOP share. VERIFY.</t>
        </is>
      </c>
      <c r="D31" s="21" t="n"/>
      <c r="E31" s="21" t="n"/>
      <c r="F31" s="21" t="n"/>
      <c r="G31" s="21" t="n"/>
      <c r="H31" s="22" t="n"/>
    </row>
    <row r="32">
      <c r="A32" s="19" t="inlineStr">
        <is>
          <t>Investment rebate — % of eligible investment</t>
        </is>
      </c>
      <c r="B32" s="66" t="n">
        <v>0.1</v>
      </c>
      <c r="C32" s="38" t="inlineStr">
        <is>
          <t>FO 2025 (KPMG): 15% / cap BDT 1,000,000. Later 2026 practitioner sources (PwC Jul 2026): 10% / cap BDT 750,000. DEFAULT uses the later figures. VERIFY for your exam Finance Act.</t>
        </is>
      </c>
      <c r="D32" s="21" t="n"/>
      <c r="E32" s="21" t="n"/>
      <c r="F32" s="21" t="n"/>
      <c r="G32" s="21" t="n"/>
      <c r="H32" s="22" t="n"/>
    </row>
    <row r="33">
      <c r="A33" s="19" t="inlineStr">
        <is>
          <t>Investment rebate — absolute cap (BDT)</t>
        </is>
      </c>
      <c r="B33" s="35" t="n">
        <v>750000</v>
      </c>
      <c r="C33" s="38" t="inlineStr">
        <is>
          <t>See note above. Change this cell if your exam year still uses BDT 1,000,000.</t>
        </is>
      </c>
      <c r="D33" s="21" t="n"/>
      <c r="E33" s="21" t="n"/>
      <c r="F33" s="21" t="n"/>
      <c r="G33" s="21" t="n"/>
      <c r="H33" s="22" t="n"/>
    </row>
    <row r="34">
      <c r="A34" s="19" t="inlineStr">
        <is>
          <t>Minimum tax — existing taxpayer (BDT)</t>
        </is>
      </c>
      <c r="B34" s="35" t="n">
        <v>5000</v>
      </c>
      <c r="C34" s="38" t="inlineStr">
        <is>
          <t>AY 2026-27: flat BDT 5,000 if total income exceeds the tax-free threshold, regardless of location (FO 2025). New taxpayer: see next row.</t>
        </is>
      </c>
      <c r="D34" s="21" t="n"/>
      <c r="E34" s="21" t="n"/>
      <c r="F34" s="21" t="n"/>
      <c r="G34" s="21" t="n"/>
      <c r="H34" s="22" t="n"/>
    </row>
    <row r="35">
      <c r="A35" s="19" t="inlineStr">
        <is>
          <t>Minimum tax — new taxpayer (BDT)</t>
        </is>
      </c>
      <c r="B35" s="35" t="n">
        <v>1000</v>
      </c>
      <c r="C35" s="38" t="inlineStr">
        <is>
          <t>AY 2026-27 / 2027-28: BDT 1,000 for a person who has not previously been assessed. VERIFY.</t>
        </is>
      </c>
      <c r="D35" s="21" t="n"/>
      <c r="E35" s="21" t="n"/>
      <c r="F35" s="21" t="n"/>
      <c r="G35" s="21" t="n"/>
      <c r="H35" s="22" t="n"/>
    </row>
    <row r="36">
      <c r="A36" s="19" t="inlineStr">
        <is>
          <t>Non-resident (foreigner) flat rate</t>
        </is>
      </c>
      <c r="B36" s="66" t="n">
        <v>0.3</v>
      </c>
      <c r="C36" s="38" t="inlineStr">
        <is>
          <t>Non-residents other than Bangladeshi non-residents: flat 30% on total income (no slabs). NRB uses the resident slab. VERIFY.</t>
        </is>
      </c>
      <c r="D36" s="21" t="n"/>
      <c r="E36" s="21" t="n"/>
      <c r="F36" s="21" t="n"/>
      <c r="G36" s="21" t="n"/>
      <c r="H36" s="22" t="n"/>
    </row>
    <row r="38" ht="16" customHeight="1">
      <c r="A38" s="42" t="inlineStr">
        <is>
          <t xml:space="preserve">  INDIVIDUAL SLAB TABLE  (edit widths / rates for another assessment year)</t>
        </is>
      </c>
      <c r="B38" s="42" t="n"/>
      <c r="C38" s="42" t="n"/>
      <c r="D38" s="42" t="n"/>
      <c r="E38" s="42" t="n"/>
      <c r="F38" s="42" t="n"/>
      <c r="G38" s="42" t="n"/>
      <c r="H38" s="42" t="n"/>
      <c r="I38" s="42" t="n"/>
      <c r="J38" s="42" t="n"/>
      <c r="K38" s="42" t="n"/>
      <c r="L38" s="42" t="n"/>
    </row>
    <row r="39" ht="28" customHeight="1">
      <c r="A39" s="26" t="inlineStr">
        <is>
          <t>Slab</t>
        </is>
      </c>
      <c r="B39" s="26" t="inlineStr">
        <is>
          <t>Width (BDT)</t>
        </is>
      </c>
      <c r="C39" s="26" t="inlineStr">
        <is>
          <t>Rate</t>
        </is>
      </c>
      <c r="D39" s="26" t="inlineStr">
        <is>
          <t>Income in this slab</t>
        </is>
      </c>
      <c r="E39" s="26" t="inlineStr">
        <is>
          <t>Tax on this slab</t>
        </is>
      </c>
      <c r="F39" s="26" t="inlineStr">
        <is>
          <t>Running total of income used</t>
        </is>
      </c>
      <c r="G39" s="26" t="inlineStr"/>
      <c r="H39" s="26" t="inlineStr"/>
      <c r="I39" s="26" t="inlineStr"/>
      <c r="J39" s="26" t="inlineStr"/>
      <c r="K39" s="26" t="inlineStr"/>
      <c r="L39" s="26" t="inlineStr"/>
    </row>
    <row r="40">
      <c r="A40" s="19" t="inlineStr">
        <is>
          <t>Slab 1 — tax-free threshold</t>
        </is>
      </c>
      <c r="B40" s="37">
        <f>$B$23</f>
        <v/>
      </c>
      <c r="C40" s="67" t="n">
        <v>0</v>
      </c>
      <c r="D40" s="37">
        <f>MIN($B$101,$B$40)</f>
        <v/>
      </c>
      <c r="E40" s="37">
        <f>D40*C40</f>
        <v/>
      </c>
      <c r="F40" s="37">
        <f>D40</f>
        <v/>
      </c>
    </row>
    <row r="41">
      <c r="A41" s="19" t="inlineStr">
        <is>
          <t>Slab 2</t>
        </is>
      </c>
      <c r="B41" s="35" t="n">
        <v>300000</v>
      </c>
      <c r="C41" s="67" t="n">
        <v>0.1</v>
      </c>
      <c r="D41" s="37">
        <f>MIN(MAX($B$101-F40,0),B41)</f>
        <v/>
      </c>
      <c r="E41" s="37">
        <f>D41*C41</f>
        <v/>
      </c>
      <c r="F41" s="37">
        <f>F40+D41</f>
        <v/>
      </c>
    </row>
    <row r="42">
      <c r="A42" s="19" t="inlineStr">
        <is>
          <t>Slab 3</t>
        </is>
      </c>
      <c r="B42" s="35" t="n">
        <v>400000</v>
      </c>
      <c r="C42" s="67" t="n">
        <v>0.15</v>
      </c>
      <c r="D42" s="37">
        <f>MIN(MAX($B$101-F41,0),B42)</f>
        <v/>
      </c>
      <c r="E42" s="37">
        <f>D42*C42</f>
        <v/>
      </c>
      <c r="F42" s="37">
        <f>F41+D42</f>
        <v/>
      </c>
    </row>
    <row r="43">
      <c r="A43" s="19" t="inlineStr">
        <is>
          <t>Slab 4</t>
        </is>
      </c>
      <c r="B43" s="35" t="n">
        <v>500000</v>
      </c>
      <c r="C43" s="67" t="n">
        <v>0.2</v>
      </c>
      <c r="D43" s="37">
        <f>MIN(MAX($B$101-F42,0),B43)</f>
        <v/>
      </c>
      <c r="E43" s="37">
        <f>D43*C43</f>
        <v/>
      </c>
      <c r="F43" s="37">
        <f>F42+D43</f>
        <v/>
      </c>
    </row>
    <row r="44">
      <c r="A44" s="19" t="inlineStr">
        <is>
          <t>Slab 5</t>
        </is>
      </c>
      <c r="B44" s="35" t="n">
        <v>2000000</v>
      </c>
      <c r="C44" s="67" t="n">
        <v>0.25</v>
      </c>
      <c r="D44" s="37">
        <f>MIN(MAX($B$101-F43,0),B44)</f>
        <v/>
      </c>
      <c r="E44" s="37">
        <f>D44*C44</f>
        <v/>
      </c>
      <c r="F44" s="37">
        <f>F43+D44</f>
        <v/>
      </c>
    </row>
    <row r="45">
      <c r="A45" s="19" t="inlineStr">
        <is>
          <t>Slab 6 — balance</t>
        </is>
      </c>
      <c r="B45" s="68" t="inlineStr">
        <is>
          <t>Balance (no width limit)</t>
        </is>
      </c>
      <c r="C45" s="67" t="n">
        <v>0.3</v>
      </c>
      <c r="D45" s="37">
        <f>MAX($B$101-F44,0)</f>
        <v/>
      </c>
      <c r="E45" s="37">
        <f>D45*C45</f>
        <v/>
      </c>
      <c r="F45" s="37">
        <f>F44+D45</f>
        <v/>
      </c>
    </row>
    <row r="47" ht="16" customHeight="1">
      <c r="A47" s="42" t="inlineStr">
        <is>
          <t xml:space="preserve">  ELIGIBLE INVESTMENT / EXPENDITURE FOR REBATE  (Sixth Schedule, Part 3 — user input)</t>
        </is>
      </c>
      <c r="B47" s="42" t="n"/>
      <c r="C47" s="42" t="n"/>
      <c r="D47" s="42" t="n"/>
      <c r="E47" s="42" t="n"/>
      <c r="F47" s="42" t="n"/>
      <c r="G47" s="42" t="n"/>
      <c r="H47" s="42" t="n"/>
      <c r="I47" s="42" t="n"/>
      <c r="J47" s="42" t="n"/>
      <c r="K47" s="42" t="n"/>
      <c r="L47" s="42" t="n"/>
    </row>
    <row r="48" ht="28" customHeight="1">
      <c r="A48" s="47" t="inlineStr">
        <is>
          <t>Eligible item (Part 3, Sixth Schedule)</t>
        </is>
      </c>
      <c r="B48" s="47" t="inlineStr">
        <is>
          <t>Amount invested (BDT)</t>
        </is>
      </c>
      <c r="C48" s="47" t="inlineStr">
        <is>
          <t>Included in rebate base?</t>
        </is>
      </c>
      <c r="D48" s="47" t="inlineStr">
        <is>
          <t>Note / limitation</t>
        </is>
      </c>
      <c r="E48" s="47" t="inlineStr"/>
      <c r="F48" s="47" t="inlineStr"/>
      <c r="G48" s="47" t="inlineStr"/>
      <c r="H48" s="47" t="inlineStr"/>
      <c r="I48" s="47" t="inlineStr"/>
      <c r="J48" s="47" t="inlineStr"/>
      <c r="K48" s="47" t="inlineStr"/>
      <c r="L48" s="47" t="inlineStr"/>
    </row>
    <row r="49">
      <c r="A49" s="34" t="inlineStr">
        <is>
          <t>Employee's contribution to recognised provident fund</t>
        </is>
      </c>
      <c r="B49" s="35" t="n">
        <v>120000</v>
      </c>
      <c r="C49" s="36" t="inlineStr">
        <is>
          <t>Yes</t>
        </is>
      </c>
      <c r="D49" s="38" t="inlineStr">
        <is>
          <t>Confirm the item is still listed in Part 3 of the Sixth Schedule for the exam year. Life premium: max 10% of sum assured.</t>
        </is>
      </c>
      <c r="E49" s="21" t="n"/>
      <c r="F49" s="21" t="n"/>
      <c r="G49" s="21" t="n"/>
      <c r="H49" s="22" t="n"/>
    </row>
    <row r="50">
      <c r="A50" s="34" t="inlineStr">
        <is>
          <t>Employer's contribution to recognised provident fund (if eligible)</t>
        </is>
      </c>
      <c r="B50" s="35" t="n">
        <v>120000</v>
      </c>
      <c r="C50" s="36" t="inlineStr">
        <is>
          <t>Yes</t>
        </is>
      </c>
      <c r="D50" s="38" t="inlineStr">
        <is>
          <t>Confirm the item is still listed in Part 3 of the Sixth Schedule for the exam year. Life premium: max 10% of sum assured.</t>
        </is>
      </c>
      <c r="E50" s="21" t="n"/>
      <c r="F50" s="21" t="n"/>
      <c r="G50" s="21" t="n"/>
      <c r="H50" s="22" t="n"/>
    </row>
    <row r="51">
      <c r="A51" s="34" t="inlineStr">
        <is>
          <t>Life insurance premium (self / spouse / minor child) — limited to 10% of sum assured</t>
        </is>
      </c>
      <c r="B51" s="35" t="n">
        <v>80000</v>
      </c>
      <c r="C51" s="36" t="inlineStr">
        <is>
          <t>Yes</t>
        </is>
      </c>
      <c r="D51" s="38" t="inlineStr">
        <is>
          <t>Confirm the item is still listed in Part 3 of the Sixth Schedule for the exam year. Life premium: max 10% of sum assured.</t>
        </is>
      </c>
      <c r="E51" s="21" t="n"/>
      <c r="F51" s="21" t="n"/>
      <c r="G51" s="21" t="n"/>
      <c r="H51" s="22" t="n"/>
    </row>
    <row r="52">
      <c r="A52" s="34" t="inlineStr">
        <is>
          <t>Deposit pension scheme (DPS) in scheduled bank / financial institution</t>
        </is>
      </c>
      <c r="B52" s="35" t="n">
        <v>60000</v>
      </c>
      <c r="C52" s="36" t="inlineStr">
        <is>
          <t>Yes</t>
        </is>
      </c>
      <c r="D52" s="38" t="inlineStr">
        <is>
          <t>Confirm the item is still listed in Part 3 of the Sixth Schedule for the exam year. Life premium: max 10% of sum assured.</t>
        </is>
      </c>
      <c r="E52" s="21" t="n"/>
      <c r="F52" s="21" t="n"/>
      <c r="G52" s="21" t="n"/>
      <c r="H52" s="22" t="n"/>
    </row>
    <row r="53">
      <c r="A53" s="34" t="inlineStr">
        <is>
          <t>Investment in listed shares / mutual fund / unit / ETF / government securities</t>
        </is>
      </c>
      <c r="B53" s="35" t="n">
        <v>200000</v>
      </c>
      <c r="C53" s="36" t="inlineStr">
        <is>
          <t>Yes</t>
        </is>
      </c>
      <c r="D53" s="38" t="inlineStr">
        <is>
          <t>Confirm the item is still listed in Part 3 of the Sixth Schedule for the exam year. Life premium: max 10% of sum assured.</t>
        </is>
      </c>
      <c r="E53" s="21" t="n"/>
      <c r="F53" s="21" t="n"/>
      <c r="G53" s="21" t="n"/>
      <c r="H53" s="22" t="n"/>
    </row>
    <row r="54">
      <c r="A54" s="34" t="inlineStr">
        <is>
          <t>Contribution to approved superannuation / pension / gratuity fund</t>
        </is>
      </c>
      <c r="B54" s="35" t="n">
        <v>0</v>
      </c>
      <c r="C54" s="36" t="inlineStr">
        <is>
          <t>Yes</t>
        </is>
      </c>
      <c r="D54" s="38" t="inlineStr">
        <is>
          <t>Confirm the item is still listed in Part 3 of the Sixth Schedule for the exam year. Life premium: max 10% of sum assured.</t>
        </is>
      </c>
      <c r="E54" s="21" t="n"/>
      <c r="F54" s="21" t="n"/>
      <c r="G54" s="21" t="n"/>
      <c r="H54" s="22" t="n"/>
    </row>
    <row r="55">
      <c r="A55" s="34" t="inlineStr">
        <is>
          <t>Zakat paid to Zakat Fund / approved zakat institution</t>
        </is>
      </c>
      <c r="B55" s="35" t="n">
        <v>0</v>
      </c>
      <c r="C55" s="36" t="inlineStr">
        <is>
          <t>Yes</t>
        </is>
      </c>
      <c r="D55" s="38" t="inlineStr">
        <is>
          <t>Confirm the item is still listed in Part 3 of the Sixth Schedule for the exam year. Life premium: max 10% of sum assured.</t>
        </is>
      </c>
      <c r="E55" s="21" t="n"/>
      <c r="F55" s="21" t="n"/>
      <c r="G55" s="21" t="n"/>
      <c r="H55" s="22" t="n"/>
    </row>
    <row r="56">
      <c r="A56" s="34" t="inlineStr">
        <is>
          <t>Donation to NBR-approved charitable hospital / specified institution</t>
        </is>
      </c>
      <c r="B56" s="35" t="n">
        <v>0</v>
      </c>
      <c r="C56" s="36" t="inlineStr">
        <is>
          <t>Yes</t>
        </is>
      </c>
      <c r="D56" s="38" t="inlineStr">
        <is>
          <t>Confirm the item is still listed in Part 3 of the Sixth Schedule for the exam year. Life premium: max 10% of sum assured.</t>
        </is>
      </c>
      <c r="E56" s="21" t="n"/>
      <c r="F56" s="21" t="n"/>
      <c r="G56" s="21" t="n"/>
      <c r="H56" s="22" t="n"/>
    </row>
    <row r="57">
      <c r="A57" s="34" t="inlineStr">
        <is>
          <t>Other eligible investment / expenditure (describe in notes)</t>
        </is>
      </c>
      <c r="B57" s="35" t="n">
        <v>0</v>
      </c>
      <c r="C57" s="36" t="inlineStr">
        <is>
          <t>Yes</t>
        </is>
      </c>
      <c r="D57" s="38" t="inlineStr">
        <is>
          <t>Confirm the item is still listed in Part 3 of the Sixth Schedule for the exam year. Life premium: max 10% of sum assured.</t>
        </is>
      </c>
      <c r="E57" s="21" t="n"/>
      <c r="F57" s="21" t="n"/>
      <c r="G57" s="21" t="n"/>
      <c r="H57" s="22" t="n"/>
    </row>
    <row r="58">
      <c r="A58" s="40" t="inlineStr">
        <is>
          <t>TOTAL ELIGIBLE INVESTMENT</t>
        </is>
      </c>
      <c r="B58" s="37">
        <f>SUMIFS(B49:B57,C49:C57,"Yes")</f>
        <v/>
      </c>
    </row>
    <row r="60" ht="16" customHeight="1">
      <c r="A60" s="42" t="inlineStr">
        <is>
          <t xml:space="preserve">  TAX ALREADY PAID  (credits against liability — do NOT deduct these from income)</t>
        </is>
      </c>
      <c r="B60" s="42" t="n"/>
      <c r="C60" s="42" t="n"/>
      <c r="D60" s="42" t="n"/>
      <c r="E60" s="42" t="n"/>
      <c r="F60" s="42" t="n"/>
      <c r="G60" s="42" t="n"/>
      <c r="H60" s="42" t="n"/>
      <c r="I60" s="42" t="n"/>
      <c r="J60" s="42" t="n"/>
      <c r="K60" s="42" t="n"/>
      <c r="L60" s="42" t="n"/>
    </row>
    <row r="61" ht="28" customHeight="1">
      <c r="A61" s="47" t="inlineStr">
        <is>
          <t>Payment / credit</t>
        </is>
      </c>
      <c r="B61" s="47" t="inlineStr">
        <is>
          <t>Amount (BDT)</t>
        </is>
      </c>
      <c r="C61" s="47" t="inlineStr">
        <is>
          <t>Treatment</t>
        </is>
      </c>
      <c r="D61" s="47" t="inlineStr"/>
      <c r="E61" s="47" t="inlineStr"/>
      <c r="F61" s="47" t="inlineStr"/>
      <c r="G61" s="47" t="inlineStr"/>
      <c r="H61" s="47" t="inlineStr"/>
      <c r="I61" s="47" t="inlineStr"/>
      <c r="J61" s="47" t="inlineStr"/>
      <c r="K61" s="47" t="inlineStr"/>
      <c r="L61" s="47" t="inlineStr"/>
    </row>
    <row r="62">
      <c r="A62" s="34" t="inlineStr">
        <is>
          <t>TDS on employment income (s.86) — from Form 16 / employer certificate</t>
        </is>
      </c>
      <c r="B62" s="35" t="n">
        <v>280000</v>
      </c>
      <c r="C62" s="38" t="inlineStr">
        <is>
          <t>Tax credit / payment on account. Some credits (e.g. certain minimum-tax TDS) may be non-refundable — VERIFY s.150 / s.163.</t>
        </is>
      </c>
      <c r="D62" s="21" t="n"/>
      <c r="E62" s="21" t="n"/>
      <c r="F62" s="21" t="n"/>
      <c r="G62" s="21" t="n"/>
      <c r="H62" s="22" t="n"/>
    </row>
    <row r="63">
      <c r="A63" s="34" t="inlineStr">
        <is>
          <t>TDS on interest / profit from bank, FDR, securities</t>
        </is>
      </c>
      <c r="B63" s="35" t="n">
        <v>18000</v>
      </c>
      <c r="C63" s="38" t="inlineStr">
        <is>
          <t>Tax credit / payment on account. Some credits (e.g. certain minimum-tax TDS) may be non-refundable — VERIFY s.150 / s.163.</t>
        </is>
      </c>
      <c r="D63" s="21" t="n"/>
      <c r="E63" s="21" t="n"/>
      <c r="F63" s="21" t="n"/>
      <c r="G63" s="21" t="n"/>
      <c r="H63" s="22" t="n"/>
    </row>
    <row r="64">
      <c r="A64" s="34" t="inlineStr">
        <is>
          <t>TDS on dividend</t>
        </is>
      </c>
      <c r="B64" s="35" t="n">
        <v>12000</v>
      </c>
      <c r="C64" s="38" t="inlineStr">
        <is>
          <t>Tax credit / payment on account. Some credits (e.g. certain minimum-tax TDS) may be non-refundable — VERIFY s.150 / s.163.</t>
        </is>
      </c>
      <c r="D64" s="21" t="n"/>
      <c r="E64" s="21" t="n"/>
      <c r="F64" s="21" t="n"/>
      <c r="G64" s="21" t="n"/>
      <c r="H64" s="22" t="n"/>
    </row>
    <row r="65">
      <c r="A65" s="34" t="inlineStr">
        <is>
          <t>TDS / tax collected at registration of land or other capital asset (s.125)</t>
        </is>
      </c>
      <c r="B65" s="35" t="n">
        <v>180000</v>
      </c>
      <c r="C65" s="38" t="inlineStr">
        <is>
          <t>Tax credit / payment on account. Some credits (e.g. certain minimum-tax TDS) may be non-refundable — VERIFY s.150 / s.163.</t>
        </is>
      </c>
      <c r="D65" s="21" t="n"/>
      <c r="E65" s="21" t="n"/>
      <c r="F65" s="21" t="n"/>
      <c r="G65" s="21" t="n"/>
      <c r="H65" s="22" t="n"/>
    </row>
    <row r="66">
      <c r="A66" s="34" t="inlineStr">
        <is>
          <t>TDS on lottery / game winnings</t>
        </is>
      </c>
      <c r="B66" s="35" t="n">
        <v>10000</v>
      </c>
      <c r="C66" s="38" t="inlineStr">
        <is>
          <t>Tax credit / payment on account. Some credits (e.g. certain minimum-tax TDS) may be non-refundable — VERIFY s.150 / s.163.</t>
        </is>
      </c>
      <c r="D66" s="21" t="n"/>
      <c r="E66" s="21" t="n"/>
      <c r="F66" s="21" t="n"/>
      <c r="G66" s="21" t="n"/>
      <c r="H66" s="22" t="n"/>
    </row>
    <row r="67">
      <c r="A67" s="34" t="inlineStr">
        <is>
          <t>TDS on rent / other heads (if any)</t>
        </is>
      </c>
      <c r="B67" s="35" t="n">
        <v>0</v>
      </c>
      <c r="C67" s="38" t="inlineStr">
        <is>
          <t>Tax credit / payment on account. Some credits (e.g. certain minimum-tax TDS) may be non-refundable — VERIFY s.150 / s.163.</t>
        </is>
      </c>
      <c r="D67" s="21" t="n"/>
      <c r="E67" s="21" t="n"/>
      <c r="F67" s="21" t="n"/>
      <c r="G67" s="21" t="n"/>
      <c r="H67" s="22" t="n"/>
    </row>
    <row r="68">
      <c r="A68" s="34" t="inlineStr">
        <is>
          <t>Advance income tax paid (AIT)</t>
        </is>
      </c>
      <c r="B68" s="35" t="n">
        <v>50000</v>
      </c>
      <c r="C68" s="38" t="inlineStr">
        <is>
          <t>Tax credit / payment on account. Some credits (e.g. certain minimum-tax TDS) may be non-refundable — VERIFY s.150 / s.163.</t>
        </is>
      </c>
      <c r="D68" s="21" t="n"/>
      <c r="E68" s="21" t="n"/>
      <c r="F68" s="21" t="n"/>
      <c r="G68" s="21" t="n"/>
      <c r="H68" s="22" t="n"/>
    </row>
    <row r="69">
      <c r="A69" s="34" t="inlineStr">
        <is>
          <t>Tax paid on regular assessment / other credit</t>
        </is>
      </c>
      <c r="B69" s="35" t="n">
        <v>0</v>
      </c>
      <c r="C69" s="38" t="inlineStr">
        <is>
          <t>Tax credit / payment on account. Some credits (e.g. certain minimum-tax TDS) may be non-refundable — VERIFY s.150 / s.163.</t>
        </is>
      </c>
      <c r="D69" s="21" t="n"/>
      <c r="E69" s="21" t="n"/>
      <c r="F69" s="21" t="n"/>
      <c r="G69" s="21" t="n"/>
      <c r="H69" s="22" t="n"/>
    </row>
    <row r="70">
      <c r="A70" s="40" t="inlineStr">
        <is>
          <t>TOTAL TAX PAID / CREDITS</t>
        </is>
      </c>
      <c r="B70" s="37">
        <f>$B$62+$B$63+$B$64+$B$65+$B$66+$B$67+$B$68+$B$69</f>
        <v/>
      </c>
    </row>
    <row r="72" ht="16" customHeight="1">
      <c r="A72" s="42" t="inlineStr">
        <is>
          <t xml:space="preserve">  SURCHARGE ON NET WEALTH  (optional — leave wealth at 0 to ignore)</t>
        </is>
      </c>
      <c r="B72" s="42" t="n"/>
      <c r="C72" s="42" t="n"/>
      <c r="D72" s="42" t="n"/>
      <c r="E72" s="42" t="n"/>
      <c r="F72" s="42" t="n"/>
      <c r="G72" s="42" t="n"/>
      <c r="H72" s="42" t="n"/>
      <c r="I72" s="42" t="n"/>
      <c r="J72" s="42" t="n"/>
      <c r="K72" s="42" t="n"/>
      <c r="L72" s="42" t="n"/>
    </row>
    <row r="73">
      <c r="A73" s="19" t="inlineStr">
        <is>
          <t>Net wealth / net worth (BDT)</t>
        </is>
      </c>
      <c r="B73" s="35" t="n">
        <v>25000000</v>
      </c>
      <c r="C73" s="38" t="inlineStr">
        <is>
          <t>Surcharge if net worth exceeds BDT 4 crore, OR owner of more than 1 motor car, OR house property &gt; 8,000 sft. Rates 10%/20%/30%/35%. VERIFY.</t>
        </is>
      </c>
      <c r="D73" s="21" t="n"/>
      <c r="E73" s="21" t="n"/>
      <c r="F73" s="21" t="n"/>
      <c r="G73" s="21" t="n"/>
      <c r="H73" s="22" t="n"/>
    </row>
    <row r="74">
      <c r="A74" s="19" t="inlineStr">
        <is>
          <t>Owns more than one motor car?</t>
        </is>
      </c>
      <c r="B74" s="36" t="inlineStr">
        <is>
          <t>No</t>
        </is>
      </c>
    </row>
    <row r="75">
      <c r="A75" s="19" t="inlineStr">
        <is>
          <t>Owns house property exceeding 8,000 sft?</t>
        </is>
      </c>
      <c r="B75" s="36" t="inlineStr">
        <is>
          <t>No</t>
        </is>
      </c>
    </row>
    <row r="76">
      <c r="A76" s="19" t="inlineStr">
        <is>
          <t>Surcharge rate (auto)</t>
        </is>
      </c>
      <c r="B76" s="60">
        <f>IF($B$73&gt;500000000,0.35,IF($B$73&gt;200000000,0.3,IF($B$73&gt;100000000,0.2,IF(OR($B$73&gt;40000000,$B$74="Yes",$B$75="Yes"),0.1,0))))</f>
        <v/>
      </c>
    </row>
    <row r="78" ht="20" customHeight="1">
      <c r="A78" s="23" t="inlineStr">
        <is>
          <t xml:space="preserve">  1   CONSOLIDATION OF THE SEVEN HEADS  (linked to Sheets 1–7 — do not type amounts here)</t>
        </is>
      </c>
      <c r="B78" s="23" t="n"/>
      <c r="C78" s="23" t="n"/>
      <c r="D78" s="23" t="n"/>
      <c r="E78" s="23" t="n"/>
      <c r="F78" s="23" t="n"/>
      <c r="G78" s="23" t="n"/>
      <c r="H78" s="23" t="n"/>
      <c r="I78" s="23" t="n"/>
      <c r="J78" s="23" t="n"/>
      <c r="K78" s="23" t="n"/>
      <c r="L78" s="23" t="n"/>
    </row>
    <row r="79" ht="28" customHeight="1">
      <c r="A79" s="24" t="inlineStr">
        <is>
          <t>Section 29 ITA 2023: total income is computed by aggregating income from all heads. Section 30 classifies income under the seven heads below. Special-rate income is included in total income but is taxed separately (do not run it through the regular slab). Figures in column B are live links to the output boxes on Sheets 1–7.</t>
        </is>
      </c>
      <c r="B79" s="25" t="n"/>
      <c r="C79" s="25" t="n"/>
      <c r="D79" s="25" t="n"/>
      <c r="E79" s="25" t="n"/>
      <c r="F79" s="25" t="n"/>
      <c r="G79" s="25" t="n"/>
      <c r="H79" s="25" t="n"/>
      <c r="I79" s="25" t="n"/>
      <c r="J79" s="25" t="n"/>
      <c r="K79" s="25" t="n"/>
      <c r="L79" s="25" t="n"/>
    </row>
    <row r="80" ht="28" customHeight="1">
      <c r="A80" s="26" t="inlineStr">
        <is>
          <t>Particulars</t>
        </is>
      </c>
      <c r="B80" s="26" t="inlineStr">
        <is>
          <t>Amount (BDT)</t>
        </is>
      </c>
      <c r="C80" s="26" t="inlineStr">
        <is>
          <t>Of which: regular-rate</t>
        </is>
      </c>
      <c r="D80" s="26" t="inlineStr">
        <is>
          <t>Of which: special-rate</t>
        </is>
      </c>
      <c r="E80" s="26" t="inlineStr">
        <is>
          <t>Of which: exempt / excluded</t>
        </is>
      </c>
      <c r="F80" s="26" t="inlineStr">
        <is>
          <t>Source sheet</t>
        </is>
      </c>
      <c r="G80" s="26" t="inlineStr">
        <is>
          <t>Check</t>
        </is>
      </c>
      <c r="H80" s="26" t="inlineStr"/>
      <c r="I80" s="26" t="inlineStr"/>
      <c r="J80" s="26" t="inlineStr"/>
      <c r="K80" s="26" t="inlineStr"/>
      <c r="L80" s="26" t="inlineStr"/>
    </row>
    <row r="81">
      <c r="A81" s="34" t="inlineStr">
        <is>
          <t>Income from employment (taxable after 1/3 exemption)</t>
        </is>
      </c>
      <c r="B81" s="37">
        <f>OUT_EMP_TAXABLE</f>
        <v/>
      </c>
      <c r="C81" s="37">
        <f>OUT_EMP_TAXABLE</f>
        <v/>
      </c>
      <c r="D81" s="37" t="n">
        <v>0</v>
      </c>
      <c r="E81" s="37">
        <f>OUT_EMP_EXEMPT</f>
        <v/>
      </c>
      <c r="F81" s="69" t="inlineStr">
        <is>
          <t>Income from Employment</t>
        </is>
      </c>
      <c r="G81" s="39">
        <f>IF(ABS(B81-C81-D81)&gt;1,"CHECK REQUIRED","OK")</f>
        <v/>
      </c>
    </row>
    <row r="82">
      <c r="A82" s="34" t="inlineStr">
        <is>
          <t>Income from financial assets — interest / profit / discount</t>
        </is>
      </c>
      <c r="B82" s="37">
        <f>OUT_FIN_REGULAR</f>
        <v/>
      </c>
      <c r="C82" s="37">
        <f>OUT_FIN_REGULAR</f>
        <v/>
      </c>
      <c r="D82" s="37" t="n">
        <v>0</v>
      </c>
      <c r="E82" s="37" t="n">
        <v>0</v>
      </c>
      <c r="F82" s="69" t="inlineStr">
        <is>
          <t>Income from Financial Assets</t>
        </is>
      </c>
      <c r="G82" s="39">
        <f>IF(ABS(B82-C82-D82)&gt;1,"CHECK REQUIRED","OK")</f>
        <v/>
      </c>
    </row>
    <row r="83">
      <c r="A83" s="34" t="inlineStr">
        <is>
          <t>Income from financial assets — dividend (special rate)</t>
        </is>
      </c>
      <c r="B83" s="37">
        <f>OUT_FIN_DIVIDEND</f>
        <v/>
      </c>
      <c r="C83" s="37" t="n">
        <v>0</v>
      </c>
      <c r="D83" s="37">
        <f>OUT_FIN_DIVIDEND</f>
        <v/>
      </c>
      <c r="E83" s="37">
        <f>OUT_FIN_DIV_EXEMPT</f>
        <v/>
      </c>
      <c r="F83" s="69" t="inlineStr">
        <is>
          <t>Income from Financial Assets</t>
        </is>
      </c>
      <c r="G83" s="39">
        <f>IF(ABS(B83-C83-D83)&gt;1,"CHECK REQUIRED","OK")</f>
        <v/>
      </c>
    </row>
    <row r="84">
      <c r="A84" s="34" t="inlineStr">
        <is>
          <t>Income from rent (ordinary)</t>
        </is>
      </c>
      <c r="B84" s="37">
        <f>OUT_RENT_TAXABLE</f>
        <v/>
      </c>
      <c r="C84" s="37">
        <f>OUT_RENT_TAXABLE</f>
        <v/>
      </c>
      <c r="D84" s="37" t="n">
        <v>0</v>
      </c>
      <c r="E84" s="37" t="n">
        <v>0</v>
      </c>
      <c r="F84" s="69" t="inlineStr">
        <is>
          <t>Income from Rent</t>
        </is>
      </c>
      <c r="G84" s="39">
        <f>IF(ABS(B84-C84-D84)&gt;1,"CHECK REQUIRED","OK")</f>
        <v/>
      </c>
    </row>
    <row r="85">
      <c r="A85" s="34" t="inlineStr">
        <is>
          <t>Special income from rent (if any, s.39)</t>
        </is>
      </c>
      <c r="B85" s="37">
        <f>OUT_RENT_SPECIAL</f>
        <v/>
      </c>
      <c r="C85" s="37">
        <f>OUT_RENT_SPECIAL</f>
        <v/>
      </c>
      <c r="D85" s="37" t="n">
        <v>0</v>
      </c>
      <c r="E85" s="37" t="n">
        <v>0</v>
      </c>
      <c r="F85" s="69" t="inlineStr">
        <is>
          <t>Income from Rent</t>
        </is>
      </c>
      <c r="G85" s="39">
        <f>IF(ABS(B85-C85-D85)&gt;1,"CHECK REQUIRED","OK")</f>
        <v/>
      </c>
    </row>
    <row r="86">
      <c r="A86" s="34" t="inlineStr">
        <is>
          <t>Income from agriculture</t>
        </is>
      </c>
      <c r="B86" s="37">
        <f>OUT_AGRI_TAXABLE</f>
        <v/>
      </c>
      <c r="C86" s="37">
        <f>OUT_AGRI_TAXABLE</f>
        <v/>
      </c>
      <c r="D86" s="37" t="n">
        <v>0</v>
      </c>
      <c r="E86" s="37">
        <f>OUT_AGRI_EXEMPT</f>
        <v/>
      </c>
      <c r="F86" s="69" t="inlineStr">
        <is>
          <t>Income from Agriculture</t>
        </is>
      </c>
      <c r="G86" s="39">
        <f>IF(ABS(B86-C86-D86)&gt;1,"CHECK REQUIRED","OK")</f>
        <v/>
      </c>
    </row>
    <row r="87">
      <c r="A87" s="34" t="inlineStr">
        <is>
          <t>Income from business (including add-backs)</t>
        </is>
      </c>
      <c r="B87" s="37">
        <f>OUT_BUS_TAXABLE</f>
        <v/>
      </c>
      <c r="C87" s="37">
        <f>OUT_BUS_TAXABLE</f>
        <v/>
      </c>
      <c r="D87" s="37" t="n">
        <v>0</v>
      </c>
      <c r="E87" s="37" t="n">
        <v>0</v>
      </c>
      <c r="F87" s="69" t="inlineStr">
        <is>
          <t>Income from Business</t>
        </is>
      </c>
      <c r="G87" s="39">
        <f>IF(ABS(B87-C87-D87)&gt;1,"CHECK REQUIRED","OK")</f>
        <v/>
      </c>
    </row>
    <row r="88">
      <c r="A88" s="34" t="inlineStr">
        <is>
          <t>Special business income (s.56 memo — already in business figure if added back)</t>
        </is>
      </c>
      <c r="B88" s="37" t="n">
        <v>0</v>
      </c>
      <c r="C88" s="37" t="n">
        <v>0</v>
      </c>
      <c r="D88" s="37" t="n">
        <v>0</v>
      </c>
      <c r="E88" s="37" t="n">
        <v>0</v>
      </c>
      <c r="F88" s="69" t="inlineStr">
        <is>
          <t>Income from Business</t>
        </is>
      </c>
      <c r="G88" s="37">
        <f>OUT_BUS_SPECIAL</f>
        <v/>
      </c>
      <c r="H88" s="38" t="inlineStr">
        <is>
          <t>Memo amount (s.56). Already inside business income. Not added again.</t>
        </is>
      </c>
    </row>
    <row r="89">
      <c r="A89" s="34" t="inlineStr">
        <is>
          <t>Capital gains — charged at regular slab (held ≤ 5 years)</t>
        </is>
      </c>
      <c r="B89" s="37">
        <f>OUT_CG_REGULAR</f>
        <v/>
      </c>
      <c r="C89" s="37">
        <f>OUT_CG_REGULAR</f>
        <v/>
      </c>
      <c r="D89" s="37" t="n">
        <v>0</v>
      </c>
      <c r="E89" s="37">
        <f>OUT_CG_EXEMPT</f>
        <v/>
      </c>
      <c r="F89" s="69" t="inlineStr">
        <is>
          <t>Capital Gain</t>
        </is>
      </c>
      <c r="G89" s="39">
        <f>IF(ABS(B89-C89-D89)&gt;1,"CHECK REQUIRED","OK")</f>
        <v/>
      </c>
    </row>
    <row r="90">
      <c r="A90" s="34" t="inlineStr">
        <is>
          <t>Capital gains — charged at 15% (held &gt; 5 years / listed taxable)</t>
        </is>
      </c>
      <c r="B90" s="37">
        <f>OUT_CG_SPECIAL15</f>
        <v/>
      </c>
      <c r="C90" s="37" t="n">
        <v>0</v>
      </c>
      <c r="D90" s="37">
        <f>OUT_CG_SPECIAL15</f>
        <v/>
      </c>
      <c r="E90" s="37" t="n">
        <v>0</v>
      </c>
      <c r="F90" s="69" t="inlineStr">
        <is>
          <t>Capital Gain</t>
        </is>
      </c>
      <c r="G90" s="39">
        <f>IF(ABS(B90-C90-D90)&gt;1,"CHECK REQUIRED","OK")</f>
        <v/>
      </c>
    </row>
    <row r="91">
      <c r="A91" s="34" t="inlineStr">
        <is>
          <t>Income from other sources — regular</t>
        </is>
      </c>
      <c r="B91" s="37">
        <f>OUT_OS_REGULAR</f>
        <v/>
      </c>
      <c r="C91" s="37">
        <f>OUT_OS_REGULAR</f>
        <v/>
      </c>
      <c r="D91" s="37" t="n">
        <v>0</v>
      </c>
      <c r="E91" s="37">
        <f>OUT_OS_EXEMPT</f>
        <v/>
      </c>
      <c r="F91" s="69" t="inlineStr">
        <is>
          <t>Income from Other Sources</t>
        </is>
      </c>
      <c r="G91" s="39">
        <f>IF(ABS(B91-C91-D91)&gt;1,"CHECK REQUIRED","OK")</f>
        <v/>
      </c>
    </row>
    <row r="92">
      <c r="A92" s="34" t="inlineStr">
        <is>
          <t>Income from other sources — lottery / games (25%)</t>
        </is>
      </c>
      <c r="B92" s="37">
        <f>OUT_OS_LOTTERY</f>
        <v/>
      </c>
      <c r="C92" s="37" t="n">
        <v>0</v>
      </c>
      <c r="D92" s="37">
        <f>OUT_OS_LOTTERY</f>
        <v/>
      </c>
      <c r="E92" s="37" t="n">
        <v>0</v>
      </c>
      <c r="F92" s="69" t="inlineStr">
        <is>
          <t>Income from Other Sources</t>
        </is>
      </c>
      <c r="G92" s="39">
        <f>IF(ABS(B92-C92-D92)&gt;1,"CHECK REQUIRED","OK")</f>
        <v/>
      </c>
    </row>
    <row r="93">
      <c r="A93" s="40" t="inlineStr">
        <is>
          <t>TOTAL INCOME (sum of seven heads, excluding memo row)</t>
        </is>
      </c>
      <c r="B93" s="41">
        <f>SUM(B81:B92)</f>
        <v/>
      </c>
      <c r="C93" s="41">
        <f>SUM(C81:C92)</f>
        <v/>
      </c>
      <c r="D93" s="41">
        <f>SUM(D81:D92)</f>
        <v/>
      </c>
      <c r="E93" s="41">
        <f>SUM(E81:E92)</f>
        <v/>
      </c>
    </row>
    <row r="94">
      <c r="A94" s="19" t="inlineStr">
        <is>
          <t>Less: further exempt income / statutory exclusion not already stripped on head sheets</t>
        </is>
      </c>
      <c r="B94" s="35" t="n">
        <v>0</v>
      </c>
      <c r="C94" s="38" t="inlineStr">
        <is>
          <t>Use only if an exemption applies at total-income level and was not already removed on a head sheet.</t>
        </is>
      </c>
      <c r="D94" s="21" t="n"/>
      <c r="E94" s="21" t="n"/>
      <c r="F94" s="21" t="n"/>
      <c r="G94" s="21" t="n"/>
      <c r="H94" s="22" t="n"/>
    </row>
    <row r="95">
      <c r="A95" s="50" t="inlineStr">
        <is>
          <t>TOTAL TAXABLE INCOME</t>
        </is>
      </c>
      <c r="B95" s="70">
        <f>$B$93-$B$94</f>
        <v/>
      </c>
    </row>
    <row r="97">
      <c r="A97" s="19" t="inlineStr">
        <is>
          <t>INTEGRITY CHECK — sum of head outputs vs this sheet</t>
        </is>
      </c>
      <c r="B97" s="39">
        <f>IF(ABS(S8_TotalIncome-(OUT_EMP_TAXABLE+OUT_FIN_REGULAR+OUT_FIN_DIVIDEND+OUT_RENT_TAXABLE+OUT_RENT_SPECIAL+OUT_AGRI_TAXABLE+OUT_BUS_TAXABLE+OUT_CG_REGULAR+OUT_CG_SPECIAL15+OUT_OS_REGULAR+OUT_OS_LOTTERY))&gt;1,"CHECK REQUIRED","OK — Sheet 8 equals Sheets 1–7")</f>
        <v/>
      </c>
      <c r="C97" s="21" t="n"/>
      <c r="D97" s="21" t="n"/>
      <c r="E97" s="21" t="n"/>
      <c r="F97" s="22" t="n"/>
    </row>
    <row r="99" ht="20" customHeight="1">
      <c r="A99" s="23" t="inlineStr">
        <is>
          <t xml:space="preserve">  2   COMPUTATION OF TAX LIABILITY</t>
        </is>
      </c>
      <c r="B99" s="23" t="n"/>
      <c r="C99" s="23" t="n"/>
      <c r="D99" s="23" t="n"/>
      <c r="E99" s="23" t="n"/>
      <c r="F99" s="23" t="n"/>
      <c r="G99" s="23" t="n"/>
      <c r="H99" s="23" t="n"/>
      <c r="I99" s="23" t="n"/>
      <c r="J99" s="23" t="n"/>
      <c r="K99" s="23" t="n"/>
      <c r="L99" s="23" t="n"/>
    </row>
    <row r="100" ht="32" customHeight="1">
      <c r="A100" s="24" t="inlineStr">
        <is>
          <t>Regular-rate income is taxed under the slab in the Control Panel (or at 30% flat if the assessee is a non-resident foreigner). Dividend, long-term / listed capital gains and lottery winnings are taxed at their own rates and are NOT passed through the slab. Investment rebate is then applied to the regular tax (not to special-rate tax). Minimum tax is compared with tax after rebate. Surcharge (if any) is added. TDS / AIT is credited last.</t>
        </is>
      </c>
      <c r="B100" s="25" t="n"/>
      <c r="C100" s="25" t="n"/>
      <c r="D100" s="25" t="n"/>
      <c r="E100" s="25" t="n"/>
      <c r="F100" s="25" t="n"/>
      <c r="G100" s="25" t="n"/>
      <c r="H100" s="25" t="n"/>
      <c r="I100" s="25" t="n"/>
      <c r="J100" s="25" t="n"/>
      <c r="K100" s="25" t="n"/>
      <c r="L100" s="25" t="n"/>
    </row>
    <row r="101">
      <c r="A101" s="19" t="inlineStr">
        <is>
          <t>A. Income charged at regular / slab rate</t>
        </is>
      </c>
      <c r="B101" s="37">
        <f>$C$93</f>
        <v/>
      </c>
    </row>
    <row r="102">
      <c r="A102" s="19" t="inlineStr">
        <is>
          <t>B. Income charged at special rates (dividend + LTCG/listed CG + lottery)</t>
        </is>
      </c>
      <c r="B102" s="37">
        <f>$D$93</f>
        <v/>
      </c>
    </row>
    <row r="103">
      <c r="A103" s="19" t="inlineStr">
        <is>
          <t>C. Tax on regular income as per slab (or 30% if non-resident foreigner)</t>
        </is>
      </c>
      <c r="B103" s="37">
        <f>IF('Comprehensive Tax Computation'!$B$12="Non-resident (foreigner)",$B$101*'Comprehensive Tax Computation'!$B$36,SUM(E40:E45))</f>
        <v/>
      </c>
    </row>
    <row r="104">
      <c r="A104" s="19" t="inlineStr">
        <is>
          <t>D. Tax on dividend @ special rate</t>
        </is>
      </c>
      <c r="B104" s="37">
        <f>OUT_FIN_DIVIDEND*P_DivRate</f>
        <v/>
      </c>
    </row>
    <row r="105">
      <c r="A105" s="19" t="inlineStr">
        <is>
          <t>E. Tax on special-rate capital gains @ 15% (or s.125 TDS if you treat it as minimum — see note)</t>
        </is>
      </c>
      <c r="B105" s="37">
        <f>OUT_CG_SPECIAL15*P_CGLongRate</f>
        <v/>
      </c>
      <c r="C105" s="38" t="inlineStr">
        <is>
          <t>Compare with TDS at registration (s.125). Tax payable on this gain is the higher of 15% and s.125 TDS (minimum tax). The higher-of logic is applied in row G below.</t>
        </is>
      </c>
      <c r="D105" s="21" t="n"/>
      <c r="E105" s="21" t="n"/>
      <c r="F105" s="21" t="n"/>
      <c r="G105" s="21" t="n"/>
      <c r="H105" s="22" t="n"/>
    </row>
    <row r="106">
      <c r="A106" s="19" t="inlineStr">
        <is>
          <t>F. Tax on lottery / game winnings @ special rate (no deduction)</t>
        </is>
      </c>
      <c r="B106" s="37">
        <f>OUT_OS_LOTTERY*P_LotteryRate</f>
        <v/>
      </c>
    </row>
    <row r="107">
      <c r="A107" s="19" t="inlineStr">
        <is>
          <t>G. Extra tax if s.125 TDS on long-term CG exceeds 15% (minimum tax on that gain)</t>
        </is>
      </c>
      <c r="B107" s="37">
        <f>MAX(0,$B$65-$B$105)</f>
        <v/>
      </c>
      <c r="C107" s="38" t="inlineStr">
        <is>
          <t>If registration TDS &gt; 15% of the gain, the excess is still payable as minimum tax on that transfer. VERIFY s.163 / s.125.</t>
        </is>
      </c>
      <c r="D107" s="21" t="n"/>
      <c r="E107" s="21" t="n"/>
      <c r="F107" s="21" t="n"/>
      <c r="G107" s="21" t="n"/>
      <c r="H107" s="22" t="n"/>
    </row>
    <row r="108">
      <c r="A108" s="40" t="inlineStr">
        <is>
          <t>H. GROSS TAX (C + D + E + F + G) before rebate</t>
        </is>
      </c>
      <c r="B108" s="41">
        <f>$B$103+$B$104+$B$105+$B$106+$B$107</f>
        <v/>
      </c>
    </row>
    <row r="110" ht="16" customHeight="1">
      <c r="A110" s="42" t="inlineStr">
        <is>
          <t xml:space="preserve">  INVESTMENT TAX REBATE  (s.78 / Sixth Schedule, Part 3)</t>
        </is>
      </c>
      <c r="B110" s="42" t="n"/>
      <c r="C110" s="42" t="n"/>
      <c r="D110" s="42" t="n"/>
      <c r="E110" s="42" t="n"/>
      <c r="F110" s="42" t="n"/>
      <c r="G110" s="42" t="n"/>
      <c r="H110" s="42" t="n"/>
      <c r="I110" s="42" t="n"/>
      <c r="J110" s="42" t="n"/>
      <c r="K110" s="42" t="n"/>
      <c r="L110" s="42" t="n"/>
    </row>
    <row r="111">
      <c r="A111" s="19" t="inlineStr">
        <is>
          <t>Eligible total income for 3% base (regular-rate income only)</t>
        </is>
      </c>
      <c r="B111" s="37">
        <f>$B$101</f>
        <v/>
      </c>
      <c r="C111" s="38" t="inlineStr">
        <is>
          <t>Default excludes special-rate income (dividend, 15% CG, lottery) and exempt income. FO 2025: includes income subject to minimum tax; excludes firm/AOP share and final-tax income. VERIFY.</t>
        </is>
      </c>
      <c r="D111" s="21" t="n"/>
      <c r="E111" s="21" t="n"/>
      <c r="F111" s="21" t="n"/>
      <c r="G111" s="21" t="n"/>
      <c r="H111" s="22" t="n"/>
    </row>
    <row r="112">
      <c r="A112" s="34" t="inlineStr">
        <is>
          <t>(a)  % of eligible total income</t>
        </is>
      </c>
      <c r="B112" s="37">
        <f>$B$111*$B$31</f>
        <v/>
      </c>
    </row>
    <row r="113">
      <c r="A113" s="34" t="inlineStr">
        <is>
          <t>(b)  % of eligible investment</t>
        </is>
      </c>
      <c r="B113" s="37">
        <f>$B$58*$B$32</f>
        <v/>
      </c>
    </row>
    <row r="114">
      <c r="A114" s="34" t="inlineStr">
        <is>
          <t>(c)  Absolute statutory cap</t>
        </is>
      </c>
      <c r="B114" s="37">
        <f>$B$33</f>
        <v/>
      </c>
    </row>
    <row r="115">
      <c r="A115" s="43" t="inlineStr">
        <is>
          <t>Rebate allowed = LOWEST of (a), (b), (c)  — cannot exceed regular slab tax</t>
        </is>
      </c>
      <c r="B115" s="44">
        <f>MIN($B$112,$B$113,$B$114,$B$103)</f>
        <v/>
      </c>
    </row>
    <row r="116">
      <c r="A116" s="19" t="inlineStr">
        <is>
          <t>I. Tax after investment rebate</t>
        </is>
      </c>
      <c r="B116" s="37">
        <f>$B$108-$B$115</f>
        <v/>
      </c>
    </row>
    <row r="118" ht="16" customHeight="1">
      <c r="A118" s="42" t="inlineStr">
        <is>
          <t xml:space="preserve">  MINIMUM TAX</t>
        </is>
      </c>
      <c r="B118" s="42" t="n"/>
      <c r="C118" s="42" t="n"/>
      <c r="D118" s="42" t="n"/>
      <c r="E118" s="42" t="n"/>
      <c r="F118" s="42" t="n"/>
      <c r="G118" s="42" t="n"/>
      <c r="H118" s="42" t="n"/>
      <c r="I118" s="42" t="n"/>
      <c r="J118" s="42" t="n"/>
      <c r="K118" s="42" t="n"/>
      <c r="L118" s="42" t="n"/>
    </row>
    <row r="119">
      <c r="A119" s="19" t="inlineStr">
        <is>
          <t>Applicable minimum tax (existing vs new taxpayer)</t>
        </is>
      </c>
      <c r="B119" s="37">
        <f>IF($B$95&gt;$B$23,IF($B$15="Yes",$B$35,$B$34),0)</f>
        <v/>
      </c>
      <c r="C119" s="38" t="inlineStr">
        <is>
          <t>Charged only if total income exceeds the tax-free threshold. AY 2026-27: BDT 5,000 (BDT 1,000 if new). VERIFY.</t>
        </is>
      </c>
      <c r="D119" s="21" t="n"/>
      <c r="E119" s="21" t="n"/>
      <c r="F119" s="21" t="n"/>
      <c r="G119" s="21" t="n"/>
      <c r="H119" s="22" t="n"/>
    </row>
    <row r="120">
      <c r="A120" s="19" t="inlineStr">
        <is>
          <t>J. Tax after minimum-tax comparison  (higher of tax after rebate and minimum tax)</t>
        </is>
      </c>
      <c r="B120" s="37">
        <f>MAX($B$116,$B$119)</f>
        <v/>
      </c>
    </row>
    <row r="122" ht="16" customHeight="1">
      <c r="A122" s="42" t="inlineStr">
        <is>
          <t xml:space="preserve">  SURCHARGE</t>
        </is>
      </c>
      <c r="B122" s="42" t="n"/>
      <c r="C122" s="42" t="n"/>
      <c r="D122" s="42" t="n"/>
      <c r="E122" s="42" t="n"/>
      <c r="F122" s="42" t="n"/>
      <c r="G122" s="42" t="n"/>
      <c r="H122" s="42" t="n"/>
      <c r="I122" s="42" t="n"/>
      <c r="J122" s="42" t="n"/>
      <c r="K122" s="42" t="n"/>
      <c r="L122" s="42" t="n"/>
    </row>
    <row r="123">
      <c r="A123" s="19" t="inlineStr">
        <is>
          <t>K. Surcharge on income tax (rate × tax after minimum tax)</t>
        </is>
      </c>
      <c r="B123" s="37">
        <f>$B$120*$B$76</f>
        <v/>
      </c>
    </row>
    <row r="124">
      <c r="A124" s="71" t="inlineStr">
        <is>
          <t>L. TOTAL TAX + SURCHARGE</t>
        </is>
      </c>
      <c r="B124" s="72">
        <f>$B$120+$B$123</f>
        <v/>
      </c>
    </row>
    <row r="126" ht="16" customHeight="1">
      <c r="A126" s="42" t="inlineStr">
        <is>
          <t xml:space="preserve">  TAX PAID AND NET PAYABLE / REFUNDABLE</t>
        </is>
      </c>
      <c r="B126" s="42" t="n"/>
      <c r="C126" s="42" t="n"/>
      <c r="D126" s="42" t="n"/>
      <c r="E126" s="42" t="n"/>
      <c r="F126" s="42" t="n"/>
      <c r="G126" s="42" t="n"/>
      <c r="H126" s="42" t="n"/>
      <c r="I126" s="42" t="n"/>
      <c r="J126" s="42" t="n"/>
      <c r="K126" s="42" t="n"/>
      <c r="L126" s="42" t="n"/>
    </row>
    <row r="127">
      <c r="A127" s="19" t="inlineStr">
        <is>
          <t>M. Total TDS + AIT + other credits (from Control Panel)</t>
        </is>
      </c>
      <c r="B127" s="37">
        <f>$B$70</f>
        <v/>
      </c>
    </row>
    <row r="128">
      <c r="A128" s="45" t="inlineStr">
        <is>
          <t>N. NET TAX PAYABLE / (REFUNDABLE)</t>
        </is>
      </c>
      <c r="B128" s="46">
        <f>$B$124-$B$70</f>
        <v/>
      </c>
    </row>
    <row r="129">
      <c r="A129" s="34" t="inlineStr">
        <is>
          <t>Status</t>
        </is>
      </c>
      <c r="B129" s="39">
        <f>IF($B$128&gt;0,"PAYABLE","REFUNDABLE / NIL")</f>
        <v/>
      </c>
    </row>
    <row r="131" ht="32" customHeight="1">
      <c r="A131" s="73" t="inlineStr">
        <is>
          <t>EXAM WARNING: Do not automatically treat every TDS as refundable. Dividend TDS and certain collected taxes can operate as minimum tax and may not generate a cash refund. Land-registration tax (s.125) is a minimum tax on that capital gain. If the exam is silent, show TDS as a credit and add a one-line note that refundability of minimum-tax TDS should be confirmed.</t>
        </is>
      </c>
      <c r="B131" s="74" t="n"/>
      <c r="C131" s="74" t="n"/>
      <c r="D131" s="74" t="n"/>
      <c r="E131" s="74" t="n"/>
      <c r="F131" s="74" t="n"/>
      <c r="G131" s="74" t="n"/>
      <c r="H131" s="74" t="n"/>
      <c r="I131" s="74" t="n"/>
      <c r="J131" s="74" t="n"/>
      <c r="K131" s="74" t="n"/>
      <c r="L131" s="74" t="n"/>
    </row>
    <row r="133" ht="20" customHeight="1">
      <c r="A133" s="23" t="inlineStr">
        <is>
          <t xml:space="preserve">  3   INTEGRATED ICAB-STYLE EXAMPLE  (the same taxpayer is pre-filled on Sheets 1–7)</t>
        </is>
      </c>
      <c r="B133" s="23" t="n"/>
      <c r="C133" s="23" t="n"/>
      <c r="D133" s="23" t="n"/>
      <c r="E133" s="23" t="n"/>
      <c r="F133" s="23" t="n"/>
      <c r="G133" s="23" t="n"/>
      <c r="H133" s="23" t="n"/>
      <c r="I133" s="23" t="n"/>
      <c r="J133" s="23" t="n"/>
      <c r="K133" s="23" t="n"/>
      <c r="L133" s="23" t="n"/>
    </row>
    <row r="134" ht="72" customHeight="1">
      <c r="A134" s="32" t="inlineStr">
        <is>
          <t>QUESTION / FACTS  —  Mr. Md. Karim Rahman is a resident individual (male, age 42) living in Dhaka. He is not a government employee and not a shareholder-director. During income year 2025-26 he had: (i) employment with a private company; (ii) FDR, savings-bank and treasury-bond interest and a listed-company dividend; (iii) a let-out residential flat; (iv) agricultural operations on ancestral land; (v) a sole-proprietorship trading business; (vi) sale of listed shares and a plot of land held for 7 years; and (vii) royalty, a gift from a friend, a gift from his father, a government cash incentive and a lottery prize. He contributed to a recognised provident fund, paid a life-insurance premium and invested in a DPS and listed shares. TDS was deducted from salary, interest, dividend, land registration and lottery, and he paid advance tax. REQUIRED: Compute income under each of the 7 heads, total income, tax liability and net tax payable for AY 2026-27.</t>
        </is>
      </c>
      <c r="B134" s="33" t="n"/>
      <c r="C134" s="33" t="n"/>
      <c r="D134" s="33" t="n"/>
      <c r="E134" s="33" t="n"/>
      <c r="F134" s="33" t="n"/>
      <c r="G134" s="33" t="n"/>
      <c r="H134" s="33" t="n"/>
      <c r="I134" s="33" t="n"/>
      <c r="J134" s="33" t="n"/>
      <c r="K134" s="33" t="n"/>
      <c r="L134" s="33" t="n"/>
    </row>
    <row r="135" ht="48" customHeight="1">
      <c r="A135" s="48" t="inlineStr">
        <is>
          <t>APPROACH (what ICAB expects): Compute each head on its own legal basis (do not start from a single 'net profit' and dump everything there). Apply head-specific exemptions (employment 1/3, agri 5-lakh only if exclusive, listed-share CG exemption, relative-gift exemption) on the correct sheet. Keep special-rate income (dividend 15%, long-term CG 15%, lottery 25%) out of the slab. TDS is never a deduction from income. Then aggregate under s.29, compute slab tax + special-rate tax − rebate, compare with minimum tax, add surcharge, subtract credits.</t>
        </is>
      </c>
      <c r="B135" s="49" t="n"/>
      <c r="C135" s="49" t="n"/>
      <c r="D135" s="49" t="n"/>
      <c r="E135" s="49" t="n"/>
      <c r="F135" s="49" t="n"/>
      <c r="G135" s="49" t="n"/>
      <c r="H135" s="49" t="n"/>
      <c r="I135" s="49" t="n"/>
      <c r="J135" s="49" t="n"/>
      <c r="K135" s="49" t="n"/>
      <c r="L135" s="49" t="n"/>
    </row>
    <row r="137" ht="20" customHeight="1">
      <c r="A137" s="23" t="inlineStr">
        <is>
          <t xml:space="preserve">  4   ICAB EXAM TIPS  —  TOTAL INCOME AND TAX LIABILITY</t>
        </is>
      </c>
      <c r="B137" s="23" t="n"/>
      <c r="C137" s="23" t="n"/>
      <c r="D137" s="23" t="n"/>
      <c r="E137" s="23" t="n"/>
      <c r="F137" s="23" t="n"/>
      <c r="G137" s="23" t="n"/>
      <c r="H137" s="23" t="n"/>
      <c r="I137" s="23" t="n"/>
      <c r="J137" s="23" t="n"/>
      <c r="K137" s="23" t="n"/>
      <c r="L137" s="23" t="n"/>
    </row>
    <row r="138" ht="28" customHeight="1">
      <c r="A138" s="52" t="inlineStr">
        <is>
          <t>1.  Always start the answer with Income Year and Assessment Year, residential status and the seven-head heading. Presentation marks are real marks.</t>
        </is>
      </c>
      <c r="B138" s="53" t="n"/>
      <c r="C138" s="53" t="n"/>
      <c r="D138" s="53" t="n"/>
      <c r="E138" s="53" t="n"/>
      <c r="F138" s="53" t="n"/>
      <c r="G138" s="53" t="n"/>
      <c r="H138" s="53" t="n"/>
      <c r="I138" s="53" t="n"/>
      <c r="J138" s="53" t="n"/>
      <c r="K138" s="53" t="n"/>
      <c r="L138" s="53" t="n"/>
    </row>
    <row r="139" ht="28" customHeight="1">
      <c r="A139" s="54" t="inlineStr">
        <is>
          <t>2.  Identify the head BEFORE you discuss exemption. Festival bonus is employment; FDR interest is financial assets; rent of a shop (not a hotel) is rent, not business; lottery is other sources.</t>
        </is>
      </c>
      <c r="B139" s="55" t="n"/>
      <c r="C139" s="55" t="n"/>
      <c r="D139" s="55" t="n"/>
      <c r="E139" s="55" t="n"/>
      <c r="F139" s="55" t="n"/>
      <c r="G139" s="55" t="n"/>
      <c r="H139" s="55" t="n"/>
      <c r="I139" s="55" t="n"/>
      <c r="J139" s="55" t="n"/>
      <c r="K139" s="55" t="n"/>
      <c r="L139" s="55" t="n"/>
    </row>
    <row r="140" ht="28" customHeight="1">
      <c r="A140" s="52" t="inlineStr">
        <is>
          <t>3.  Never net TDS against the income line. Show gross income, then show TDS only in the tax-payment section.</t>
        </is>
      </c>
      <c r="B140" s="53" t="n"/>
      <c r="C140" s="53" t="n"/>
      <c r="D140" s="53" t="n"/>
      <c r="E140" s="53" t="n"/>
      <c r="F140" s="53" t="n"/>
      <c r="G140" s="53" t="n"/>
      <c r="H140" s="53" t="n"/>
      <c r="I140" s="53" t="n"/>
      <c r="J140" s="53" t="n"/>
      <c r="K140" s="53" t="n"/>
      <c r="L140" s="53" t="n"/>
    </row>
    <row r="141" ht="28" customHeight="1">
      <c r="A141" s="54" t="inlineStr">
        <is>
          <t>4.  Employment: from AY under ITA 2023 there are no separate HRA / medical / conveyance exemptions. One composite exemption — lower of 1/3 of employment income or the statutory cap.</t>
        </is>
      </c>
      <c r="B141" s="55" t="n"/>
      <c r="C141" s="55" t="n"/>
      <c r="D141" s="55" t="n"/>
      <c r="E141" s="55" t="n"/>
      <c r="F141" s="55" t="n"/>
      <c r="G141" s="55" t="n"/>
      <c r="H141" s="55" t="n"/>
      <c r="I141" s="55" t="n"/>
      <c r="J141" s="55" t="n"/>
      <c r="K141" s="55" t="n"/>
      <c r="L141" s="55" t="n"/>
    </row>
    <row r="142" ht="28" customHeight="1">
      <c r="A142" s="52" t="inlineStr">
        <is>
          <t>5.  Duty TA/DA and specified major-surgery medical reimbursement (non-shareholder-director) are EXCLUDED from employment income under s.32(2) — they never enter the 1/3 calculation.</t>
        </is>
      </c>
      <c r="B142" s="53" t="n"/>
      <c r="C142" s="53" t="n"/>
      <c r="D142" s="53" t="n"/>
      <c r="E142" s="53" t="n"/>
      <c r="F142" s="53" t="n"/>
      <c r="G142" s="53" t="n"/>
      <c r="H142" s="53" t="n"/>
      <c r="I142" s="53" t="n"/>
      <c r="J142" s="53" t="n"/>
      <c r="K142" s="53" t="n"/>
      <c r="L142" s="53" t="n"/>
    </row>
    <row r="143" ht="28" customHeight="1">
      <c r="A143" s="54" t="inlineStr">
        <is>
          <t>6.  Rent: statutory repair is 30% commercial / 25% non-commercial of gross rental value. You cannot claim actual repair instead. Vacancy needs electricity-bill evidence (s.37).</t>
        </is>
      </c>
      <c r="B143" s="55" t="n"/>
      <c r="C143" s="55" t="n"/>
      <c r="D143" s="55" t="n"/>
      <c r="E143" s="55" t="n"/>
      <c r="F143" s="55" t="n"/>
      <c r="G143" s="55" t="n"/>
      <c r="H143" s="55" t="n"/>
      <c r="I143" s="55" t="n"/>
      <c r="J143" s="55" t="n"/>
      <c r="K143" s="55" t="n"/>
      <c r="L143" s="55" t="n"/>
    </row>
    <row r="144" ht="28" customHeight="1">
      <c r="A144" s="52" t="inlineStr">
        <is>
          <t>7.  Business: start from profit as per accounts and reconcile. Personal, capital, provisions, cash-salary, cash-rent, excess entertainment, income-tax and accounting depreciation are the classic add-backs.</t>
        </is>
      </c>
      <c r="B144" s="53" t="n"/>
      <c r="C144" s="53" t="n"/>
      <c r="D144" s="53" t="n"/>
      <c r="E144" s="53" t="n"/>
      <c r="F144" s="53" t="n"/>
      <c r="G144" s="53" t="n"/>
      <c r="H144" s="53" t="n"/>
      <c r="I144" s="53" t="n"/>
      <c r="J144" s="53" t="n"/>
      <c r="K144" s="53" t="n"/>
      <c r="L144" s="53" t="n"/>
    </row>
    <row r="145" ht="28" customHeight="1">
      <c r="A145" s="54" t="inlineStr">
        <is>
          <t>8.  Special business income (s.56) is taxed at the regular rate with no set-off / no 3rd Schedule depreciation against it. If the exam asks for it separately, show a memo. Do not double-count.</t>
        </is>
      </c>
      <c r="B145" s="55" t="n"/>
      <c r="C145" s="55" t="n"/>
      <c r="D145" s="55" t="n"/>
      <c r="E145" s="55" t="n"/>
      <c r="F145" s="55" t="n"/>
      <c r="G145" s="55" t="n"/>
      <c r="H145" s="55" t="n"/>
      <c r="I145" s="55" t="n"/>
      <c r="J145" s="55" t="n"/>
      <c r="K145" s="55" t="n"/>
      <c r="L145" s="55" t="n"/>
    </row>
    <row r="146" ht="28" customHeight="1">
      <c r="A146" s="52" t="inlineStr">
        <is>
          <t>9.  Capital gain on listed shares of an ordinary investor up to the exemption threshold is often exempt — do not automatically put it in the 15% pot. Land held &gt; 5 years is 15% (or s.125 TDS if higher).</t>
        </is>
      </c>
      <c r="B146" s="53" t="n"/>
      <c r="C146" s="53" t="n"/>
      <c r="D146" s="53" t="n"/>
      <c r="E146" s="53" t="n"/>
      <c r="F146" s="53" t="n"/>
      <c r="G146" s="53" t="n"/>
      <c r="H146" s="53" t="n"/>
      <c r="I146" s="53" t="n"/>
      <c r="J146" s="53" t="n"/>
      <c r="K146" s="53" t="n"/>
      <c r="L146" s="53" t="n"/>
    </row>
    <row r="147" ht="28" customHeight="1">
      <c r="A147" s="54" t="inlineStr">
        <is>
          <t>10.  Gift from spouse / parent / child is exempt if disclosed in both returns. Gift from a friend is other sources. Do not confuse with capital gain (a gift is not a 'transfer' for CG in the usual sense).</t>
        </is>
      </c>
      <c r="B147" s="55" t="n"/>
      <c r="C147" s="55" t="n"/>
      <c r="D147" s="55" t="n"/>
      <c r="E147" s="55" t="n"/>
      <c r="F147" s="55" t="n"/>
      <c r="G147" s="55" t="n"/>
      <c r="H147" s="55" t="n"/>
      <c r="I147" s="55" t="n"/>
      <c r="J147" s="55" t="n"/>
      <c r="K147" s="55" t="n"/>
      <c r="L147" s="55" t="n"/>
    </row>
    <row r="148" ht="28" customHeight="1">
      <c r="A148" s="52" t="inlineStr">
        <is>
          <t>11.  Agricultural exemption of BDT 5 lakh is NOT available once the assessee has employment, rent, business, CG or other-source income. Financial-asset income alone does not destroy it (FO 2025 — VERIFY).</t>
        </is>
      </c>
      <c r="B148" s="53" t="n"/>
      <c r="C148" s="53" t="n"/>
      <c r="D148" s="53" t="n"/>
      <c r="E148" s="53" t="n"/>
      <c r="F148" s="53" t="n"/>
      <c r="G148" s="53" t="n"/>
      <c r="H148" s="53" t="n"/>
      <c r="I148" s="53" t="n"/>
      <c r="J148" s="53" t="n"/>
      <c r="K148" s="53" t="n"/>
      <c r="L148" s="53" t="n"/>
    </row>
    <row r="149" ht="28" customHeight="1">
      <c r="A149" s="54" t="inlineStr">
        <is>
          <t>12.  If the question is silent on the Finance Act year, state your assumed AY and rates at the top. Examiners reward a clear assumption more than a silent (and possibly wrong) rate.</t>
        </is>
      </c>
      <c r="B149" s="55" t="n"/>
      <c r="C149" s="55" t="n"/>
      <c r="D149" s="55" t="n"/>
      <c r="E149" s="55" t="n"/>
      <c r="F149" s="55" t="n"/>
      <c r="G149" s="55" t="n"/>
      <c r="H149" s="55" t="n"/>
      <c r="I149" s="55" t="n"/>
      <c r="J149" s="55" t="n"/>
      <c r="K149" s="55" t="n"/>
      <c r="L149" s="55" t="n"/>
    </row>
    <row r="151" ht="20" customHeight="1">
      <c r="A151" s="23" t="inlineStr">
        <is>
          <t xml:space="preserve">  5   ASSUMPTIONS / NOTES  (read before using numbers in an answer script)</t>
        </is>
      </c>
      <c r="B151" s="23" t="n"/>
      <c r="C151" s="23" t="n"/>
      <c r="D151" s="23" t="n"/>
      <c r="E151" s="23" t="n"/>
      <c r="F151" s="23" t="n"/>
      <c r="G151" s="23" t="n"/>
      <c r="H151" s="23" t="n"/>
      <c r="I151" s="23" t="n"/>
      <c r="J151" s="23" t="n"/>
      <c r="K151" s="23" t="n"/>
      <c r="L151" s="23" t="n"/>
    </row>
    <row r="152" ht="40" customHeight="1">
      <c r="A152" s="56" t="inlineStr">
        <is>
          <t>1.  Default year: Income Year 2025-26 / Assessment Year 2026-27. Slabs, thresholds, rebate percentages and the employment-exemption cap are taken from Finance Ordinance 2025 as commonly summarised by KPMG / ACNABIN / PwC, with later-2026 practitioner updates on rebate (10% / BDT 750,000) adopted as the default. VERIFY against the Finance Act printed in your ICAB study pack.</t>
        </is>
      </c>
      <c r="B152" s="57" t="n"/>
      <c r="C152" s="57" t="n"/>
      <c r="D152" s="57" t="n"/>
      <c r="E152" s="57" t="n"/>
      <c r="F152" s="57" t="n"/>
      <c r="G152" s="57" t="n"/>
      <c r="H152" s="57" t="n"/>
      <c r="I152" s="57" t="n"/>
      <c r="J152" s="57" t="n"/>
      <c r="K152" s="57" t="n"/>
      <c r="L152" s="57" t="n"/>
    </row>
    <row r="153" ht="40" customHeight="1">
      <c r="A153" s="56" t="inlineStr">
        <is>
          <t>2.  Some 2026 commentaries mention a general threshold of BDT 400,000 rather than BDT 375,000. The Control Panel is formula-driven — change the category-lookup amounts in J11:K15 if your examiner uses a different figure.</t>
        </is>
      </c>
      <c r="B153" s="57" t="n"/>
      <c r="C153" s="57" t="n"/>
      <c r="D153" s="57" t="n"/>
      <c r="E153" s="57" t="n"/>
      <c r="F153" s="57" t="n"/>
      <c r="G153" s="57" t="n"/>
      <c r="H153" s="57" t="n"/>
      <c r="I153" s="57" t="n"/>
      <c r="J153" s="57" t="n"/>
      <c r="K153" s="57" t="n"/>
      <c r="L153" s="57" t="n"/>
    </row>
    <row r="154" ht="40" customHeight="1">
      <c r="A154" s="56" t="inlineStr">
        <is>
          <t>3.  Section numbers cited are those of the Income Tax Act, 2023 (as commonly numbered: s.29–s.31 heads; s.32–34 employment; s.35–39 rent; s.40–44 agriculture; s.45–56 business; s.57–61 capital gains; s.62–65 financial assets; s.66–69 other sources). Where a paragraph of the Sixth / Seventh Schedule is year-sensitive it is marked VERIFY.</t>
        </is>
      </c>
      <c r="B154" s="57" t="n"/>
      <c r="C154" s="57" t="n"/>
      <c r="D154" s="57" t="n"/>
      <c r="E154" s="57" t="n"/>
      <c r="F154" s="57" t="n"/>
      <c r="G154" s="57" t="n"/>
      <c r="H154" s="57" t="n"/>
      <c r="I154" s="57" t="n"/>
      <c r="J154" s="57" t="n"/>
      <c r="K154" s="57" t="n"/>
      <c r="L154" s="57" t="n"/>
    </row>
    <row r="155" ht="40" customHeight="1">
      <c r="A155" s="56" t="inlineStr">
        <is>
          <t>4.  Government-employee special exemptions (NBR notification after ITA 2023) are NOT built into the default example. If the question is a government servant, tick 'Government employee?' and adjust the employment sheet notes; do not rely on the private-sector 1/3 alone without reading the notification.</t>
        </is>
      </c>
      <c r="B155" s="57" t="n"/>
      <c r="C155" s="57" t="n"/>
      <c r="D155" s="57" t="n"/>
      <c r="E155" s="57" t="n"/>
      <c r="F155" s="57" t="n"/>
      <c r="G155" s="57" t="n"/>
      <c r="H155" s="57" t="n"/>
      <c r="I155" s="57" t="n"/>
      <c r="J155" s="57" t="n"/>
      <c r="K155" s="57" t="n"/>
      <c r="L155" s="57" t="n"/>
    </row>
    <row r="156" ht="40" customHeight="1">
      <c r="A156" s="56" t="inlineStr">
        <is>
          <t>5.  This file is an educational template. It is not a substitute for the Act, the Rules, the Finance Act of the exam year, or an NBR circular. If a treatment is uncertain it is flagged in yellow rather than silently assumed.</t>
        </is>
      </c>
      <c r="B156" s="57" t="n"/>
      <c r="C156" s="57" t="n"/>
      <c r="D156" s="57" t="n"/>
      <c r="E156" s="57" t="n"/>
      <c r="F156" s="57" t="n"/>
      <c r="G156" s="57" t="n"/>
      <c r="H156" s="57" t="n"/>
      <c r="I156" s="57" t="n"/>
      <c r="J156" s="57" t="n"/>
      <c r="K156" s="57" t="n"/>
      <c r="L156" s="57" t="n"/>
    </row>
    <row r="158" ht="20" customHeight="1">
      <c r="A158" s="23" t="inlineStr">
        <is>
          <t xml:space="preserve">  6   LEGAL REFERENCES</t>
        </is>
      </c>
      <c r="B158" s="23" t="n"/>
      <c r="C158" s="23" t="n"/>
      <c r="D158" s="23" t="n"/>
      <c r="E158" s="23" t="n"/>
      <c r="F158" s="23" t="n"/>
      <c r="G158" s="23" t="n"/>
      <c r="H158" s="23" t="n"/>
      <c r="I158" s="23" t="n"/>
      <c r="J158" s="23" t="n"/>
      <c r="K158" s="23" t="n"/>
      <c r="L158" s="23" t="n"/>
    </row>
    <row r="159" ht="18" customHeight="1">
      <c r="A159" s="58" t="inlineStr">
        <is>
          <t>•  Income Tax Act, 2023 (ITA 2023) — principal statute replacing the Income-tax Ordinance, 1984.</t>
        </is>
      </c>
    </row>
    <row r="160" ht="18" customHeight="1">
      <c r="A160" s="58" t="inlineStr">
        <is>
          <t>•  s.18 charge of tax; s.26 scope of total income; s.27 income deemed to accrue or arise in Bangladesh; s.29 computation of total income; s.30 heads of income; s.31 consolidation.</t>
        </is>
      </c>
    </row>
    <row r="161" ht="18" customHeight="1">
      <c r="A161" s="58" t="inlineStr">
        <is>
          <t>•  s.76–s.79 exemptions, exclusions and general tax relief on investments (Sixth Schedule).</t>
        </is>
      </c>
    </row>
    <row r="162" ht="18" customHeight="1">
      <c r="A162" s="58" t="inlineStr">
        <is>
          <t>•  s.86 onwards — deduction / collection of tax at source; s.150 credit of tax deducted; s.163 minimum tax (VERIFY current numbering if your reprint differs).</t>
        </is>
      </c>
    </row>
    <row r="163" ht="18" customHeight="1">
      <c r="A163" s="58" t="inlineStr">
        <is>
          <t>•  Seventh Schedule / Part 7 — special rates (capital gains, dividend, lottery). VERIFY the reprint you are using.</t>
        </is>
      </c>
    </row>
    <row r="164" ht="18" customHeight="1">
      <c r="A164" s="58" t="inlineStr">
        <is>
          <t>•  Third Schedule — depreciation allowance.</t>
        </is>
      </c>
    </row>
    <row r="165" ht="18" customHeight="1">
      <c r="A165" s="58" t="inlineStr">
        <is>
          <t>•  Finance Ordinance, 2025 and subsequent Finance Act(s) — rates, thresholds, rebate formula, agricultural exemption, employment-exemption cap.</t>
        </is>
      </c>
    </row>
    <row r="166" ht="18" customHeight="1">
      <c r="A166" s="58" t="inlineStr">
        <is>
          <t>•  Relevant SROs / NBR circulars / Paripatra of the exam year (especially government-employee salary exemption and listed-share CG).</t>
        </is>
      </c>
    </row>
    <row r="167" ht="18" customHeight="1">
      <c r="A167" s="58" t="inlineStr">
        <is>
          <t>•  Form of Return (IT-11GA) — presentation of rental computation and head-wise totals; useful as a presentation template in the exam.</t>
        </is>
      </c>
    </row>
    <row r="169" ht="20" customHeight="1">
      <c r="A169" s="23" t="inlineStr">
        <is>
          <t xml:space="preserve">  7   WORKBOOK ERROR-CHECK DASHBOARD</t>
        </is>
      </c>
      <c r="B169" s="23" t="n"/>
      <c r="C169" s="23" t="n"/>
      <c r="D169" s="23" t="n"/>
      <c r="E169" s="23" t="n"/>
      <c r="F169" s="23" t="n"/>
      <c r="G169" s="23" t="n"/>
      <c r="H169" s="23" t="n"/>
      <c r="I169" s="23" t="n"/>
      <c r="J169" s="23" t="n"/>
      <c r="K169" s="23" t="n"/>
      <c r="L169" s="23" t="n"/>
    </row>
    <row r="170" ht="28" customHeight="1">
      <c r="A170" s="47" t="inlineStr">
        <is>
          <t>Check</t>
        </is>
      </c>
      <c r="B170" s="47" t="inlineStr">
        <is>
          <t>Result</t>
        </is>
      </c>
      <c r="C170" s="47" t="inlineStr"/>
      <c r="D170" s="47" t="inlineStr"/>
      <c r="E170" s="47" t="inlineStr"/>
      <c r="F170" s="47" t="inlineStr"/>
      <c r="G170" s="47" t="inlineStr"/>
      <c r="H170" s="47" t="inlineStr"/>
      <c r="I170" s="47" t="inlineStr"/>
      <c r="J170" s="47" t="inlineStr"/>
      <c r="K170" s="47" t="inlineStr"/>
      <c r="L170" s="47" t="inlineStr"/>
    </row>
    <row r="171">
      <c r="A171" s="34" t="inlineStr">
        <is>
          <t>Sheet 8 equals sum of Sheets 1–7</t>
        </is>
      </c>
      <c r="B171" s="39">
        <f>$B$97</f>
        <v/>
      </c>
    </row>
    <row r="172">
      <c r="A172" s="34" t="inlineStr">
        <is>
          <t>Regular + special = total income</t>
        </is>
      </c>
      <c r="B172" s="39">
        <f>IF(ABS($B$93-$C$93-$D$93)&gt;1,"CHECK REQUIRED","OK")</f>
        <v/>
      </c>
    </row>
    <row r="173">
      <c r="A173" s="34" t="inlineStr">
        <is>
          <t>Rebate does not exceed slab tax</t>
        </is>
      </c>
      <c r="B173" s="39">
        <f>IF($B$115&gt;$B$103+0.001,"CHECK REQUIRED","OK")</f>
        <v/>
      </c>
    </row>
    <row r="174">
      <c r="A174" s="34" t="inlineStr">
        <is>
          <t>Net payable = liability − credits</t>
        </is>
      </c>
      <c r="B174" s="39">
        <f>IF(ABS($B$128-($B$124-$B$70))&gt;1,"CHECK REQUIRED","OK")</f>
        <v/>
      </c>
    </row>
    <row r="175">
      <c r="A175" s="34" t="inlineStr">
        <is>
          <t>Employment taxable ≤ gross (from Sheet 1)</t>
        </is>
      </c>
      <c r="B175" s="39">
        <f>IF(OUT_EMP_TAXABLE&gt;OUT_EMP_GROSS+0.001,"CHECK REQUIRED","OK")</f>
        <v/>
      </c>
    </row>
    <row r="176">
      <c r="A176" s="34" t="inlineStr">
        <is>
          <t>Exempt employment ≤ gross</t>
        </is>
      </c>
      <c r="B176" s="39">
        <f>IF(OUT_EMP_EXEMPT&gt;OUT_EMP_GROSS+0.001,"CHECK REQUIRED","OK")</f>
        <v/>
      </c>
    </row>
  </sheetData>
  <mergeCells count="99">
    <mergeCell ref="C25:H25"/>
    <mergeCell ref="A137:L137"/>
    <mergeCell ref="A145:L145"/>
    <mergeCell ref="B12:C12"/>
    <mergeCell ref="A139:L139"/>
    <mergeCell ref="D52:H52"/>
    <mergeCell ref="B14:C14"/>
    <mergeCell ref="A131:L131"/>
    <mergeCell ref="A100:L100"/>
    <mergeCell ref="B13:C13"/>
    <mergeCell ref="A156:L156"/>
    <mergeCell ref="C32:H32"/>
    <mergeCell ref="D53:H53"/>
    <mergeCell ref="A165:L165"/>
    <mergeCell ref="A155:L155"/>
    <mergeCell ref="A148:L148"/>
    <mergeCell ref="C24:H24"/>
    <mergeCell ref="A166:L166"/>
    <mergeCell ref="C107:H107"/>
    <mergeCell ref="A138:L138"/>
    <mergeCell ref="A6:L6"/>
    <mergeCell ref="C73:H73"/>
    <mergeCell ref="C26:H26"/>
    <mergeCell ref="A78:L78"/>
    <mergeCell ref="C63:H63"/>
    <mergeCell ref="B16:C16"/>
    <mergeCell ref="A133:L133"/>
    <mergeCell ref="C105:H105"/>
    <mergeCell ref="B18:C18"/>
    <mergeCell ref="C36:H36"/>
    <mergeCell ref="B11:C11"/>
    <mergeCell ref="D57:H57"/>
    <mergeCell ref="D49:H49"/>
    <mergeCell ref="A159:L159"/>
    <mergeCell ref="C67:H67"/>
    <mergeCell ref="A38:L38"/>
    <mergeCell ref="A147:L147"/>
    <mergeCell ref="A161:L161"/>
    <mergeCell ref="C28:H28"/>
    <mergeCell ref="C69:H69"/>
    <mergeCell ref="C30:H30"/>
    <mergeCell ref="C62:H62"/>
    <mergeCell ref="B15:C15"/>
    <mergeCell ref="A60:L60"/>
    <mergeCell ref="D55:H55"/>
    <mergeCell ref="A110:L110"/>
    <mergeCell ref="C64:H64"/>
    <mergeCell ref="A146:L146"/>
    <mergeCell ref="D54:H54"/>
    <mergeCell ref="A118:L118"/>
    <mergeCell ref="A149:L149"/>
    <mergeCell ref="A158:L158"/>
    <mergeCell ref="A2:L2"/>
    <mergeCell ref="A151:L151"/>
    <mergeCell ref="C27:H27"/>
    <mergeCell ref="A47:L47"/>
    <mergeCell ref="A160:L160"/>
    <mergeCell ref="C119:H119"/>
    <mergeCell ref="A141:L141"/>
    <mergeCell ref="A22:L22"/>
    <mergeCell ref="A135:L135"/>
    <mergeCell ref="B17:C17"/>
    <mergeCell ref="A144:L144"/>
    <mergeCell ref="A122:L122"/>
    <mergeCell ref="A72:L72"/>
    <mergeCell ref="A134:L134"/>
    <mergeCell ref="C66:H66"/>
    <mergeCell ref="A152:L152"/>
    <mergeCell ref="C111:H111"/>
    <mergeCell ref="A167:L167"/>
    <mergeCell ref="C34:H34"/>
    <mergeCell ref="C68:H68"/>
    <mergeCell ref="A169:L169"/>
    <mergeCell ref="A153:L153"/>
    <mergeCell ref="A162:L162"/>
    <mergeCell ref="C29:H29"/>
    <mergeCell ref="D50:H50"/>
    <mergeCell ref="C94:H94"/>
    <mergeCell ref="C65:H65"/>
    <mergeCell ref="A7:L7"/>
    <mergeCell ref="A99:L99"/>
    <mergeCell ref="A164:L164"/>
    <mergeCell ref="C31:H31"/>
    <mergeCell ref="A154:L154"/>
    <mergeCell ref="A163:L163"/>
    <mergeCell ref="C23:H23"/>
    <mergeCell ref="A126:L126"/>
    <mergeCell ref="A140:L140"/>
    <mergeCell ref="B10:C10"/>
    <mergeCell ref="A9:L9"/>
    <mergeCell ref="A143:L143"/>
    <mergeCell ref="D56:H56"/>
    <mergeCell ref="C33:H33"/>
    <mergeCell ref="A142:L142"/>
    <mergeCell ref="A1:L1"/>
    <mergeCell ref="D51:H51"/>
    <mergeCell ref="C35:H35"/>
    <mergeCell ref="A79:L79"/>
    <mergeCell ref="B97:F97"/>
  </mergeCells>
  <conditionalFormatting sqref="B1:G400">
    <cfRule type="expression" priority="1" dxfId="0">
      <formula>ISNUMBER(SEARCH("CHECK REQUIRED",B1))</formula>
    </cfRule>
  </conditionalFormatting>
  <dataValidations count="9">
    <dataValidation sqref="B12" showDropDown="0" showInputMessage="0" showErrorMessage="0" allowBlank="1" errorTitle="Invalid entry" error="Select a value from the list" promptTitle="Input" prompt="Select from the list" type="list">
      <formula1>"Resident,Non-resident Bangladeshi (NRB),Non-resident (foreigner)"</formula1>
    </dataValidation>
    <dataValidation sqref="B13" showDropDown="0" showInputMessage="0" showErrorMessage="0" allowBlank="1" errorTitle="Invalid entry" error="Select a value from the list" promptTitle="Input" prompt="Select from the list" type="list">
      <formula1>"General (male, under 65),Woman / Senior citizen (65+),Third gender,Person with disability,Gazetted freedom fighter / July Warrior"</formula1>
    </dataValidation>
    <dataValidation sqref="B14" showDropDown="0" showInputMessage="0" showErrorMessage="0" allowBlank="1" errorTitle="Invalid entry" error="Select a value from the list" promptTitle="Input" prompt="Select from the list" type="list">
      <formula1>"Yes,No"</formula1>
    </dataValidation>
    <dataValidation sqref="B15" showDropDown="0" showInputMessage="0" showErrorMessage="0" allowBlank="1" errorTitle="Invalid entry" error="Select a value from the list" promptTitle="Input" prompt="Select from the list" type="list">
      <formula1>"Yes,No"</formula1>
    </dataValidation>
    <dataValidation sqref="B17" showDropDown="0" showInputMessage="0" showErrorMessage="0" allowBlank="1" errorTitle="Invalid entry" error="Select a value from the list" promptTitle="Input" prompt="Select from the list" type="list">
      <formula1>"Yes,No"</formula1>
    </dataValidation>
    <dataValidation sqref="B18" showDropDown="0" showInputMessage="0" showErrorMessage="0" allowBlank="1" errorTitle="Invalid entry" error="Select a value from the list" promptTitle="Input" prompt="Select from the list" type="list">
      <formula1>"Yes,No"</formula1>
    </dataValidation>
    <dataValidation sqref="C49:C57" showDropDown="0" showInputMessage="0" showErrorMessage="0" allowBlank="1" errorTitle="Invalid entry" error="Select a value from the list" promptTitle="Input" prompt="Select from the list" type="list">
      <formula1>"Yes,No"</formula1>
    </dataValidation>
    <dataValidation sqref="B74" showDropDown="0" showInputMessage="0" showErrorMessage="0" allowBlank="1" errorTitle="Invalid entry" error="Select a value from the list" promptTitle="Input" prompt="Select from the list" type="list">
      <formula1>"Yes,No"</formula1>
    </dataValidation>
    <dataValidation sqref="B75" showDropDown="0" showInputMessage="0" showErrorMessage="0" allowBlank="1" errorTitle="Invalid entry" error="Select a value from the list" promptTitle="Input" prompt="Select from the list" type="list">
      <formula1>"Yes,No"</formula1>
    </dataValidation>
  </dataValidations>
  <hyperlinks>
    <hyperlink xmlns:r="http://schemas.openxmlformats.org/officeDocument/2006/relationships" ref="A3" r:id="rId1"/>
    <hyperlink xmlns:r="http://schemas.openxmlformats.org/officeDocument/2006/relationships" ref="B3"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H3" r:id="rId8"/>
    <hyperlink xmlns:r="http://schemas.openxmlformats.org/officeDocument/2006/relationships" ref="F81" r:id="rId9"/>
    <hyperlink xmlns:r="http://schemas.openxmlformats.org/officeDocument/2006/relationships" ref="F82" r:id="rId10"/>
    <hyperlink xmlns:r="http://schemas.openxmlformats.org/officeDocument/2006/relationships" ref="F83" r:id="rId11"/>
    <hyperlink xmlns:r="http://schemas.openxmlformats.org/officeDocument/2006/relationships" ref="F84" r:id="rId12"/>
    <hyperlink xmlns:r="http://schemas.openxmlformats.org/officeDocument/2006/relationships" ref="F85" r:id="rId13"/>
    <hyperlink xmlns:r="http://schemas.openxmlformats.org/officeDocument/2006/relationships" ref="F86" r:id="rId14"/>
    <hyperlink xmlns:r="http://schemas.openxmlformats.org/officeDocument/2006/relationships" ref="F87" r:id="rId15"/>
    <hyperlink xmlns:r="http://schemas.openxmlformats.org/officeDocument/2006/relationships" ref="F88" r:id="rId16"/>
    <hyperlink xmlns:r="http://schemas.openxmlformats.org/officeDocument/2006/relationships" ref="F89" r:id="rId17"/>
    <hyperlink xmlns:r="http://schemas.openxmlformats.org/officeDocument/2006/relationships" ref="F90" r:id="rId18"/>
    <hyperlink xmlns:r="http://schemas.openxmlformats.org/officeDocument/2006/relationships" ref="F91" r:id="rId19"/>
    <hyperlink xmlns:r="http://schemas.openxmlformats.org/officeDocument/2006/relationships" ref="F92" r:id="rId20"/>
  </hyperlinks>
  <pageMargins left="0.45" right="0.45" top="0.6" bottom="0.55" header="0.25" footer="0.25"/>
  <pageSetup orientation="landscape" paperSize="9" fitToHeight="0" fitToWidth="1"/>
  <headerFooter>
    <oddHeader>&amp;L&amp;8ICAB Professional Taxation  |  Comprehensive Tax Computation</oddHeader>
    <oddFooter>&amp;L&amp;8Bangladesh Income Tax Act, 2023  |  For study / exam practice — verify Finance Act of the exam year&amp;R&amp;8Page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ICAB exam-oriented study workbook</dc:creator>
  <dc:title>ICAB Professional Taxation – 7 Heads of Income</dc:title>
  <dc:description>Study + practice + computation template for ICAB Professional Level Business Planning: Taxation &amp; Compliance. Default IY 2025-26 / AY 2026-27.</dc:description>
  <dc:subject>Bangladesh Income Tax Act, 2023 — seven heads of income</dc:subject>
  <dcterms:created xsi:type="dcterms:W3CDTF">2026-08-18T05:16:29Z</dcterms:created>
  <dcterms:modified xsi:type="dcterms:W3CDTF">2026-08-18T05:16:29Z</dcterms:modified>
</cp:coreProperties>
</file>