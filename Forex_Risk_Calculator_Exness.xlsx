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Calculator" sheetId="1" state="visible" r:id="rId1"/>
    <sheet name="Pip Value &amp; Contract Table" sheetId="2" state="visible" r:id="rId2"/>
    <sheet name="Examples" sheetId="3" state="visible" r:id="rId3"/>
    <sheet name="Exness Account Ty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  <sz val="12"/>
    </font>
    <font>
      <b val="1"/>
      <color rgb="00006100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4" borderId="1" pivotButton="0" quotePrefix="0" xfId="0"/>
    <xf numFmtId="0" fontId="5" fillId="0" borderId="0" pivotButton="0" quotePrefix="0" xfId="0"/>
    <xf numFmtId="0" fontId="6" fillId="4" borderId="1" pivotButton="0" quotePrefix="0" xfId="0"/>
    <xf numFmtId="0" fontId="7" fillId="4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3" fillId="5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6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0" customWidth="1" min="3" max="3"/>
  </cols>
  <sheetData>
    <row r="1">
      <c r="A1" s="1" t="inlineStr">
        <is>
          <t>Exness Forex &amp; Gold (XAUUSD) Risk &amp; Lot Size Calculator - Educational Only</t>
        </is>
      </c>
    </row>
    <row r="2">
      <c r="A2" s="2" t="inlineStr">
        <is>
          <t>Not Financial Advice - For Demo Learning Only | Formula: Lot = Risk$ / (SL pips * PipValue)</t>
        </is>
      </c>
    </row>
    <row r="4">
      <c r="A4" s="3" t="inlineStr">
        <is>
          <t>INPUTS - Fill YELLOW cells only</t>
        </is>
      </c>
    </row>
    <row r="5">
      <c r="A5" s="4" t="inlineStr">
        <is>
          <t>Account Balance (USD)</t>
        </is>
      </c>
      <c r="B5" s="5" t="n">
        <v>1000</v>
      </c>
      <c r="C5" s="6" t="inlineStr">
        <is>
          <t>Your demo balance, e.g., 1000</t>
        </is>
      </c>
    </row>
    <row r="6">
      <c r="A6" s="4" t="inlineStr">
        <is>
          <t>Risk per Trade %</t>
        </is>
      </c>
      <c r="B6" s="5" t="n">
        <v>1</v>
      </c>
      <c r="C6" s="6" t="inlineStr">
        <is>
          <t>Pro use 0.5-1%, max 2%. 1% of $1000 = $10 risk</t>
        </is>
      </c>
    </row>
    <row r="7">
      <c r="A7" s="4" t="inlineStr">
        <is>
          <t>Stop Loss (pips)</t>
        </is>
      </c>
      <c r="B7" s="5" t="n">
        <v>30</v>
      </c>
      <c r="C7" s="6" t="inlineStr">
        <is>
          <t>For Forex: pips. For Gold XAUUSD: enter in cents, e.g., 100 = $1.00 move = 100 cents</t>
        </is>
      </c>
    </row>
    <row r="8">
      <c r="A8" s="4" t="inlineStr">
        <is>
          <t>Take Profit (pips)</t>
        </is>
      </c>
      <c r="B8" s="5" t="n">
        <v>60</v>
      </c>
      <c r="C8" s="6" t="inlineStr">
        <is>
          <t>For 1:2 RR, TP = 2x SL. e.g., SL 30 =&gt; TP 60</t>
        </is>
      </c>
    </row>
    <row r="9">
      <c r="A9" s="4" t="inlineStr">
        <is>
          <t>Trading Pair / Instrument</t>
        </is>
      </c>
      <c r="B9" s="5" t="inlineStr">
        <is>
          <t>EURUSD</t>
        </is>
      </c>
      <c r="C9" s="6" t="inlineStr">
        <is>
          <t>Choose: EURUSD, GBPUSD, USDJPY, USDCHF, USDCAD, XAUUSD</t>
        </is>
      </c>
    </row>
    <row r="10">
      <c r="A10" s="4" t="inlineStr">
        <is>
          <t>Current Market Price</t>
        </is>
      </c>
      <c r="B10" s="5" t="n">
        <v>1.085</v>
      </c>
      <c r="C10" s="6" t="inlineStr">
        <is>
          <t>EURUSD=1.08, USDJPY=150.00, XAUUSD=2030.00 - needed for USDXXX &amp; Gold margin</t>
        </is>
      </c>
    </row>
    <row r="11">
      <c r="A11" s="4" t="inlineStr">
        <is>
          <t>Account Leverage (Exness)</t>
        </is>
      </c>
      <c r="B11" s="5" t="n">
        <v>500</v>
      </c>
      <c r="C11" s="6" t="inlineStr">
        <is>
          <t>e.g., 100, 200, 500, 1000, 2000 - Exness allows up to 1:2000</t>
        </is>
      </c>
    </row>
    <row r="12">
      <c r="A12" s="4" t="inlineStr">
        <is>
          <t>Exness Account Type</t>
        </is>
      </c>
      <c r="B12" s="5" t="inlineStr">
        <is>
          <t>Standard</t>
        </is>
      </c>
      <c r="C12" s="6" t="inlineStr">
        <is>
          <t>Standard / Pro / Raw Spread / Zero - margin same formula, spread differs</t>
        </is>
      </c>
    </row>
    <row r="14">
      <c r="A14" s="3" t="inlineStr">
        <is>
          <t>OUTPUTS - Auto calculated (Do not edit)</t>
        </is>
      </c>
    </row>
    <row r="15">
      <c r="A15" s="4" t="inlineStr">
        <is>
          <t>Risk Amount (USD) = Balance * Risk%</t>
        </is>
      </c>
      <c r="B15" s="7">
        <f>B5*B6/100</f>
        <v/>
      </c>
      <c r="C15" s="8" t="inlineStr">
        <is>
          <t>Max loss if SL hits</t>
        </is>
      </c>
    </row>
    <row r="16">
      <c r="A16" s="4" t="inlineStr">
        <is>
          <t>Contract Size</t>
        </is>
      </c>
      <c r="B16" s="7">
        <f>IF(B9="XAUUSD",100,100000)</f>
        <v/>
      </c>
      <c r="C16" s="8" t="inlineStr">
        <is>
          <t>If XAUUSD =&gt; 100 oz, else Forex =&gt; 100,000</t>
        </is>
      </c>
    </row>
    <row r="17">
      <c r="A17" s="4" t="inlineStr">
        <is>
          <t>Pip Value per 1.0 Lot (USD)</t>
        </is>
      </c>
      <c r="B17" s="7">
        <f>IF(B9="XAUUSD",1,IF(ISNUMBER(SEARCH("JPY",B9)),1000/B10,IF(LEFT(B9,3)="USD",10/B10,10)))</f>
        <v/>
      </c>
      <c r="C17" s="8" t="inlineStr">
        <is>
          <t>EURUSD= $10 | USDJPY=1000/Price | USDCHF=10/Price | XAUUSD=$1 per $0.01</t>
        </is>
      </c>
    </row>
    <row r="18">
      <c r="A18" s="4" t="inlineStr">
        <is>
          <t>Pip Value per 0.01 Lot</t>
        </is>
      </c>
      <c r="B18" s="7">
        <f>B15*0.01</f>
        <v/>
      </c>
    </row>
    <row r="19">
      <c r="A19" s="4" t="inlineStr">
        <is>
          <t>Recommended Lot Size (Standard Lots)</t>
        </is>
      </c>
      <c r="B19" s="9">
        <f>IF(B7=0,0,B13/(B7*B15))</f>
        <v/>
      </c>
      <c r="C19" s="8" t="inlineStr">
        <is>
          <t>Formula: Risk$ / (SL pips * PipValue per 1 lot)</t>
        </is>
      </c>
    </row>
    <row r="20">
      <c r="A20" s="4" t="inlineStr">
        <is>
          <t>Recommended Lot Size (Rounded Down to 0.01)</t>
        </is>
      </c>
      <c r="B20" s="10">
        <f>FLOOR(B17*100,1)/100</f>
        <v/>
      </c>
      <c r="C20" s="11" t="inlineStr">
        <is>
          <t>USE THIS in MT5 - rounded down for safety. If &lt;0.01, cannot trade with this SL.</t>
        </is>
      </c>
    </row>
    <row r="21">
      <c r="A21" s="4" t="inlineStr">
        <is>
          <t>Position Value / Notional (USD)</t>
        </is>
      </c>
      <c r="B21" s="12">
        <f>B18*B14*B10</f>
        <v/>
      </c>
      <c r="C21" s="8" t="inlineStr">
        <is>
          <t>Lot * Contract Size * Price</t>
        </is>
      </c>
    </row>
    <row r="22">
      <c r="A22" s="4" t="inlineStr">
        <is>
          <t>Required Margin (USD) = Notional / Leverage</t>
        </is>
      </c>
      <c r="B22" s="12">
        <f>IF(B11=0,0,B19/B11)</f>
        <v/>
      </c>
      <c r="C22" s="8" t="inlineStr">
        <is>
          <t>Exness blocks this margin. Lower leverage = higher margin needed.</t>
        </is>
      </c>
    </row>
    <row r="23">
      <c r="A23" s="4" t="inlineStr">
        <is>
          <t>Risk:Reward Ratio</t>
        </is>
      </c>
      <c r="B23" s="12">
        <f>IF(B7=0,0,B8/B7)</f>
        <v/>
      </c>
      <c r="C23" s="8" t="inlineStr">
        <is>
          <t>2 = 1:2 RR, risk $10 to make $20</t>
        </is>
      </c>
    </row>
    <row r="24">
      <c r="A24" s="4" t="inlineStr">
        <is>
          <t>Potential Profit if TP hits (USD)</t>
        </is>
      </c>
      <c r="B24" s="12">
        <f>B13*B21</f>
        <v/>
      </c>
    </row>
    <row r="25">
      <c r="A25" s="4" t="inlineStr">
        <is>
          <t>Potential Loss if SL hits (USD) - Should = Risk Amount</t>
        </is>
      </c>
      <c r="B25" s="12">
        <f>B18*B7*B15</f>
        <v/>
      </c>
      <c r="C25" s="8" t="inlineStr">
        <is>
          <t>Cross-check: should equal Risk Amount</t>
        </is>
      </c>
    </row>
    <row r="27">
      <c r="A27" s="13" t="inlineStr">
        <is>
          <t>RISK WARNINGS &amp; EXNESS ACCOUNT INFO</t>
        </is>
      </c>
    </row>
    <row r="28">
      <c r="A28" s="14" t="inlineStr">
        <is>
          <t>1. NEVER risk &gt;2% per trade. Pro traders use 0.5%-1% on demo/live.</t>
        </is>
      </c>
    </row>
    <row r="29">
      <c r="A29" s="14" t="inlineStr">
        <is>
          <t>2. Lot size auto-decreases when SL is wider - this protects your account.</t>
        </is>
      </c>
    </row>
    <row r="30">
      <c r="A30" s="14" t="inlineStr">
        <is>
          <t>3. Exness minimum lot: Standard = 0.01 lot. If calculator shows &lt;0.01, you must reduce SL or skip trade.</t>
        </is>
      </c>
    </row>
    <row r="31">
      <c r="A31" s="14" t="inlineStr">
        <is>
          <t>4. GOLD XAUUSD: In this calculator, 1 pip = $0.01 move. So SL 100 pips = $1.00 move (2030.00 -&gt; 2029.00). Exness Gold spread is higher, check live spread.</t>
        </is>
      </c>
    </row>
    <row r="32">
      <c r="A32" s="14" t="inlineStr">
        <is>
          <t>5. Margin: Higher leverage (1:2000) = lower margin but HIGHER risk of wipeout. Lower leverage (1:100) = safer.</t>
        </is>
      </c>
    </row>
    <row r="33">
      <c r="A33" s="14" t="inlineStr">
        <is>
          <t>6. Exness Account Types: Standard (spread from 0.3), Raw Spread (from 0.0 + commission), Pro, Zero - lot calculation same, margin same formula.</t>
        </is>
      </c>
    </row>
    <row r="34">
      <c r="A34" s="14" t="inlineStr">
        <is>
          <t>7. This is EDUCATIONAL ONLY - not BUY/SELL signal. No AI can guarantee profit. Test 30+ trades on demo.</t>
        </is>
      </c>
    </row>
    <row r="35">
      <c r="A35" s="14" t="inlineStr">
        <is>
          <t>8. For Bangladesh: Check Bangladesh Bank regulations on forex trading before live funding.</t>
        </is>
      </c>
    </row>
    <row r="36">
      <c r="A36" s="14" t="inlineStr">
        <is>
          <t>9. Always set Stop Loss - trading without SL can blow account in seconds.</t>
        </is>
      </c>
    </row>
  </sheetData>
  <mergeCells count="22">
    <mergeCell ref="C8:F8"/>
    <mergeCell ref="A27:F27"/>
    <mergeCell ref="C7:F7"/>
    <mergeCell ref="A2:F2"/>
    <mergeCell ref="A33:F33"/>
    <mergeCell ref="A14:F14"/>
    <mergeCell ref="A32:F32"/>
    <mergeCell ref="C6:F6"/>
    <mergeCell ref="A35:F35"/>
    <mergeCell ref="A4:F4"/>
    <mergeCell ref="C5:F5"/>
    <mergeCell ref="A29:F29"/>
    <mergeCell ref="A28:F28"/>
    <mergeCell ref="A31:F31"/>
    <mergeCell ref="A34:F34"/>
    <mergeCell ref="C10:F10"/>
    <mergeCell ref="A30:F30"/>
    <mergeCell ref="C9:F9"/>
    <mergeCell ref="A36:F36"/>
    <mergeCell ref="A1:F1"/>
    <mergeCell ref="C12:F12"/>
    <mergeCell ref="C11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55" customWidth="1" min="5" max="5"/>
  </cols>
  <sheetData>
    <row r="1">
      <c r="A1" s="15" t="inlineStr">
        <is>
          <t>Reference - Exness Contract Specs (Approximate, check Exness website for live values)</t>
        </is>
      </c>
    </row>
    <row r="2">
      <c r="A2" s="16" t="inlineStr">
        <is>
          <t>Instrument</t>
        </is>
      </c>
      <c r="B2" s="16" t="inlineStr">
        <is>
          <t>Type</t>
        </is>
      </c>
      <c r="C2" s="16" t="inlineStr">
        <is>
          <t>Contract Size</t>
        </is>
      </c>
      <c r="D2" s="16" t="inlineStr">
        <is>
          <t>Pip / Point Size</t>
        </is>
      </c>
      <c r="E2" s="16" t="inlineStr">
        <is>
          <t>Pip Value per 1.0 Lot (USD)</t>
        </is>
      </c>
    </row>
    <row r="3">
      <c r="A3" s="17" t="inlineStr">
        <is>
          <t>EURUSD</t>
        </is>
      </c>
      <c r="B3" s="17" t="inlineStr">
        <is>
          <t>Forex Major</t>
        </is>
      </c>
      <c r="C3" s="17" t="inlineStr">
        <is>
          <t>100,000</t>
        </is>
      </c>
      <c r="D3" s="17" t="inlineStr">
        <is>
          <t>0.0001</t>
        </is>
      </c>
      <c r="E3" s="17" t="inlineStr">
        <is>
          <t>$10</t>
        </is>
      </c>
    </row>
    <row r="4">
      <c r="A4" s="17" t="inlineStr">
        <is>
          <t>GBPUSD</t>
        </is>
      </c>
      <c r="B4" s="17" t="inlineStr">
        <is>
          <t>Forex Major</t>
        </is>
      </c>
      <c r="C4" s="17" t="inlineStr">
        <is>
          <t>100,000</t>
        </is>
      </c>
      <c r="D4" s="17" t="inlineStr">
        <is>
          <t>0.0001</t>
        </is>
      </c>
      <c r="E4" s="17" t="inlineStr">
        <is>
          <t>$10</t>
        </is>
      </c>
    </row>
    <row r="5">
      <c r="A5" s="17" t="inlineStr">
        <is>
          <t>AUDUSD</t>
        </is>
      </c>
      <c r="B5" s="17" t="inlineStr">
        <is>
          <t>Forex Major</t>
        </is>
      </c>
      <c r="C5" s="17" t="inlineStr">
        <is>
          <t>100,000</t>
        </is>
      </c>
      <c r="D5" s="17" t="inlineStr">
        <is>
          <t>0.0001</t>
        </is>
      </c>
      <c r="E5" s="17" t="inlineStr">
        <is>
          <t>$10</t>
        </is>
      </c>
    </row>
    <row r="6">
      <c r="A6" s="17" t="inlineStr">
        <is>
          <t>NZDUSD</t>
        </is>
      </c>
      <c r="B6" s="17" t="inlineStr">
        <is>
          <t>Forex Major</t>
        </is>
      </c>
      <c r="C6" s="17" t="inlineStr">
        <is>
          <t>100,000</t>
        </is>
      </c>
      <c r="D6" s="17" t="inlineStr">
        <is>
          <t>0.0001</t>
        </is>
      </c>
      <c r="E6" s="17" t="inlineStr">
        <is>
          <t>$10</t>
        </is>
      </c>
    </row>
    <row r="7">
      <c r="A7" s="17" t="inlineStr">
        <is>
          <t>USDJPY</t>
        </is>
      </c>
      <c r="B7" s="17" t="inlineStr">
        <is>
          <t>Forex Major (JPY)</t>
        </is>
      </c>
      <c r="C7" s="17" t="inlineStr">
        <is>
          <t>100,000</t>
        </is>
      </c>
      <c r="D7" s="17" t="inlineStr">
        <is>
          <t>0.01</t>
        </is>
      </c>
      <c r="E7" s="17" t="inlineStr">
        <is>
          <t>1000 / Price (150 =&gt; $6.66)</t>
        </is>
      </c>
    </row>
    <row r="8">
      <c r="A8" s="17" t="inlineStr">
        <is>
          <t>USDCHF</t>
        </is>
      </c>
      <c r="B8" s="17" t="inlineStr">
        <is>
          <t>Forex Major</t>
        </is>
      </c>
      <c r="C8" s="17" t="inlineStr">
        <is>
          <t>100,000</t>
        </is>
      </c>
      <c r="D8" s="17" t="inlineStr">
        <is>
          <t>0.0001</t>
        </is>
      </c>
      <c r="E8" s="17" t="inlineStr">
        <is>
          <t>10 / Price (0.90 =&gt; $11.11)</t>
        </is>
      </c>
    </row>
    <row r="9">
      <c r="A9" s="17" t="inlineStr">
        <is>
          <t>USDCAD</t>
        </is>
      </c>
      <c r="B9" s="17" t="inlineStr">
        <is>
          <t>Forex Major</t>
        </is>
      </c>
      <c r="C9" s="17" t="inlineStr">
        <is>
          <t>100,000</t>
        </is>
      </c>
      <c r="D9" s="17" t="inlineStr">
        <is>
          <t>0.0001</t>
        </is>
      </c>
      <c r="E9" s="17" t="inlineStr">
        <is>
          <t>10 / Price (1.35 =&gt; $7.40)</t>
        </is>
      </c>
    </row>
    <row r="10">
      <c r="A10" s="17" t="inlineStr">
        <is>
          <t>XAUUSD</t>
        </is>
      </c>
      <c r="B10" s="17" t="inlineStr">
        <is>
          <t>Gold Spot</t>
        </is>
      </c>
      <c r="C10" s="17" t="inlineStr">
        <is>
          <t>100 oz</t>
        </is>
      </c>
      <c r="D10" s="17" t="inlineStr">
        <is>
          <t>0.01</t>
        </is>
      </c>
      <c r="E10" s="17" t="inlineStr">
        <is>
          <t>$1 per $0.01 move (100 oz * $0.01) =&gt; $0.10 move = $10</t>
        </is>
      </c>
    </row>
    <row r="11">
      <c r="A11" s="17" t="inlineStr">
        <is>
          <t>XAUUSD</t>
        </is>
      </c>
      <c r="B11" s="17" t="inlineStr">
        <is>
          <t>Gold Spot</t>
        </is>
      </c>
      <c r="C11" s="17" t="inlineStr">
        <is>
          <t>100 oz</t>
        </is>
      </c>
      <c r="D11" s="17" t="inlineStr">
        <is>
          <t>0.10</t>
        </is>
      </c>
      <c r="E11" s="17" t="inlineStr">
        <is>
          <t>$10 per $0.10 move</t>
        </is>
      </c>
    </row>
    <row r="12">
      <c r="A12" s="17" t="inlineStr">
        <is>
          <t>XAUUSD</t>
        </is>
      </c>
      <c r="B12" s="17" t="inlineStr">
        <is>
          <t>Gold Spot</t>
        </is>
      </c>
      <c r="C12" s="17" t="inlineStr">
        <is>
          <t>100 oz</t>
        </is>
      </c>
      <c r="D12" s="17" t="inlineStr">
        <is>
          <t>1.00</t>
        </is>
      </c>
      <c r="E12" s="17" t="inlineStr">
        <is>
          <t>$100 per $1.00 move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6" max="6"/>
    <col width="12" customWidth="1" min="7" max="7"/>
    <col width="45" customWidth="1" min="8" max="8"/>
  </cols>
  <sheetData>
    <row r="1">
      <c r="A1" s="15" t="inlineStr">
        <is>
          <t>Example Scenarios (Hypothetical $1000 account - Not Recommendations)</t>
        </is>
      </c>
    </row>
    <row r="2">
      <c r="A2" s="16" t="inlineStr">
        <is>
          <t>Balance</t>
        </is>
      </c>
      <c r="B2" s="16" t="inlineStr">
        <is>
          <t>Risk %</t>
        </is>
      </c>
      <c r="C2" s="16" t="inlineStr">
        <is>
          <t>Risk $</t>
        </is>
      </c>
      <c r="D2" s="16" t="inlineStr">
        <is>
          <t>SL pips</t>
        </is>
      </c>
      <c r="E2" s="16" t="inlineStr">
        <is>
          <t>TP pips</t>
        </is>
      </c>
      <c r="F2" s="16" t="inlineStr">
        <is>
          <t>Pair @ Price</t>
        </is>
      </c>
      <c r="G2" s="16" t="inlineStr">
        <is>
          <t>Lot Size</t>
        </is>
      </c>
      <c r="H2" s="16" t="inlineStr">
        <is>
          <t>Notes</t>
        </is>
      </c>
    </row>
    <row r="3">
      <c r="A3" s="17" t="n">
        <v>1000</v>
      </c>
      <c r="B3" s="17" t="inlineStr">
        <is>
          <t>1%</t>
        </is>
      </c>
      <c r="C3" s="17" t="n">
        <v>10</v>
      </c>
      <c r="D3" s="17" t="n">
        <v>20</v>
      </c>
      <c r="E3" s="17" t="n">
        <v>40</v>
      </c>
      <c r="F3" s="17" t="inlineStr">
        <is>
          <t>EURUSD @1.08</t>
        </is>
      </c>
      <c r="G3" s="17" t="n">
        <v>0.05</v>
      </c>
      <c r="H3" s="17" t="inlineStr">
        <is>
          <t>Tight SL =&gt; larger lot, same $ risk</t>
        </is>
      </c>
    </row>
    <row r="4">
      <c r="A4" s="17" t="n">
        <v>1000</v>
      </c>
      <c r="B4" s="17" t="inlineStr">
        <is>
          <t>1%</t>
        </is>
      </c>
      <c r="C4" s="17" t="n">
        <v>10</v>
      </c>
      <c r="D4" s="17" t="n">
        <v>50</v>
      </c>
      <c r="E4" s="17" t="n">
        <v>100</v>
      </c>
      <c r="F4" s="17" t="inlineStr">
        <is>
          <t>EURUSD @1.08</t>
        </is>
      </c>
      <c r="G4" s="17" t="n">
        <v>0.02</v>
      </c>
      <c r="H4" s="17" t="inlineStr">
        <is>
          <t>Wider SL =&gt; smaller lot</t>
        </is>
      </c>
    </row>
    <row r="5">
      <c r="A5" s="17" t="n">
        <v>1000</v>
      </c>
      <c r="B5" s="17" t="inlineStr">
        <is>
          <t>2%</t>
        </is>
      </c>
      <c r="C5" s="17" t="n">
        <v>20</v>
      </c>
      <c r="D5" s="17" t="n">
        <v>30</v>
      </c>
      <c r="E5" s="17" t="n">
        <v>60</v>
      </c>
      <c r="F5" s="17" t="inlineStr">
        <is>
          <t>EURUSD @1.08</t>
        </is>
      </c>
      <c r="G5" s="17" t="n">
        <v>0.06</v>
      </c>
      <c r="H5" s="17" t="inlineStr">
        <is>
          <t>2% risk doubles lot vs 1%</t>
        </is>
      </c>
    </row>
    <row r="6">
      <c r="A6" s="17" t="n">
        <v>500</v>
      </c>
      <c r="B6" s="17" t="inlineStr">
        <is>
          <t>1%</t>
        </is>
      </c>
      <c r="C6" s="17" t="n">
        <v>5</v>
      </c>
      <c r="D6" s="17" t="n">
        <v>30</v>
      </c>
      <c r="E6" s="17" t="n">
        <v>60</v>
      </c>
      <c r="F6" s="17" t="inlineStr">
        <is>
          <t>EURUSD @1.08</t>
        </is>
      </c>
      <c r="G6" s="17" t="n">
        <v>0.01</v>
      </c>
      <c r="H6" s="17" t="inlineStr">
        <is>
          <t>Small account =&gt; min 0.01 lot</t>
        </is>
      </c>
    </row>
    <row r="7">
      <c r="A7" s="17" t="n">
        <v>1000</v>
      </c>
      <c r="B7" s="17" t="inlineStr">
        <is>
          <t>1%</t>
        </is>
      </c>
      <c r="C7" s="17" t="n">
        <v>10</v>
      </c>
      <c r="D7" s="17" t="n">
        <v>30</v>
      </c>
      <c r="E7" s="17" t="n">
        <v>60</v>
      </c>
      <c r="F7" s="17" t="inlineStr">
        <is>
          <t>USDJPY @150</t>
        </is>
      </c>
      <c r="G7" s="17" t="n">
        <v>0.05</v>
      </c>
      <c r="H7" s="17" t="inlineStr">
        <is>
          <t>1000/150=6.66 pip value</t>
        </is>
      </c>
    </row>
    <row r="8">
      <c r="A8" s="17" t="n">
        <v>1000</v>
      </c>
      <c r="B8" s="17" t="inlineStr">
        <is>
          <t>1%</t>
        </is>
      </c>
      <c r="C8" s="17" t="n">
        <v>10</v>
      </c>
      <c r="D8" s="17" t="n">
        <v>100</v>
      </c>
      <c r="E8" s="17" t="n">
        <v>200</v>
      </c>
      <c r="F8" s="17" t="inlineStr">
        <is>
          <t>XAUUSD @2030 ($1 SL)</t>
        </is>
      </c>
      <c r="G8" s="17" t="n">
        <v>0.1</v>
      </c>
      <c r="H8" s="17" t="inlineStr">
        <is>
          <t>Gold: SL 100 pips = $1.00 move, lot=10/(100*1)=0.10</t>
        </is>
      </c>
    </row>
    <row r="9">
      <c r="A9" s="17" t="n">
        <v>1000</v>
      </c>
      <c r="B9" s="17" t="inlineStr">
        <is>
          <t>1%</t>
        </is>
      </c>
      <c r="C9" s="17" t="n">
        <v>10</v>
      </c>
      <c r="D9" s="17" t="n">
        <v>200</v>
      </c>
      <c r="E9" s="17" t="n">
        <v>400</v>
      </c>
      <c r="F9" s="17" t="inlineStr">
        <is>
          <t>XAUUSD @2030 ($2 SL)</t>
        </is>
      </c>
      <c r="G9" s="17" t="n">
        <v>0.05</v>
      </c>
      <c r="H9" s="17" t="inlineStr">
        <is>
          <t>Gold: SL 200 pips = $2.00 move, lot=0.05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Exness Account Types - Margin &amp; Lot Info (Check exness.com for live specs)</t>
        </is>
      </c>
    </row>
    <row r="2">
      <c r="A2" s="16" t="inlineStr">
        <is>
          <t>Account Type</t>
        </is>
      </c>
      <c r="B2" s="16" t="inlineStr">
        <is>
          <t>Min Deposit</t>
        </is>
      </c>
      <c r="C2" s="16" t="inlineStr">
        <is>
          <t>Min Lot</t>
        </is>
      </c>
      <c r="D2" s="16" t="inlineStr">
        <is>
          <t>Spread / Commission</t>
        </is>
      </c>
    </row>
    <row r="3">
      <c r="A3" s="17" t="inlineStr">
        <is>
          <t>Standard</t>
        </is>
      </c>
      <c r="B3" s="17" t="inlineStr">
        <is>
          <t>$10</t>
        </is>
      </c>
      <c r="C3" s="17" t="inlineStr">
        <is>
          <t>0.01</t>
        </is>
      </c>
      <c r="D3" s="17" t="inlineStr">
        <is>
          <t>From 0.3 pip, no commission</t>
        </is>
      </c>
    </row>
    <row r="4">
      <c r="A4" s="17" t="inlineStr">
        <is>
          <t>Standard Cent</t>
        </is>
      </c>
      <c r="B4" s="17" t="inlineStr">
        <is>
          <t>$10</t>
        </is>
      </c>
      <c r="C4" s="17" t="inlineStr">
        <is>
          <t>0.01 (cent lot)</t>
        </is>
      </c>
      <c r="D4" s="17" t="inlineStr">
        <is>
          <t>From 0.3 pip</t>
        </is>
      </c>
    </row>
    <row r="5">
      <c r="A5" s="17" t="inlineStr">
        <is>
          <t>Pro</t>
        </is>
      </c>
      <c r="B5" s="17" t="inlineStr">
        <is>
          <t>$200</t>
        </is>
      </c>
      <c r="C5" s="17" t="inlineStr">
        <is>
          <t>0.01</t>
        </is>
      </c>
      <c r="D5" s="17" t="inlineStr">
        <is>
          <t>From 0.1 pip, no commission</t>
        </is>
      </c>
    </row>
    <row r="6">
      <c r="A6" s="17" t="inlineStr">
        <is>
          <t>Raw Spread</t>
        </is>
      </c>
      <c r="B6" s="17" t="inlineStr">
        <is>
          <t>$200</t>
        </is>
      </c>
      <c r="C6" s="17" t="inlineStr">
        <is>
          <t>0.01</t>
        </is>
      </c>
      <c r="D6" s="17" t="inlineStr">
        <is>
          <t>From 0.0 pip + up to $3.5 commission per lot</t>
        </is>
      </c>
    </row>
    <row r="7">
      <c r="A7" s="17" t="inlineStr">
        <is>
          <t>Zero</t>
        </is>
      </c>
      <c r="B7" s="17" t="inlineStr">
        <is>
          <t>$200</t>
        </is>
      </c>
      <c r="C7" s="17" t="inlineStr">
        <is>
          <t>0.01</t>
        </is>
      </c>
      <c r="D7" s="17" t="inlineStr">
        <is>
          <t>0.0 pip on 30 pairs + commission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2026-09-15T08:29:52Z</dcterms:created>
  <dcterms:modified xsi:type="dcterms:W3CDTF">2026-09-15T08:29:52Z</dcterms:modified>
</cp:coreProperties>
</file>