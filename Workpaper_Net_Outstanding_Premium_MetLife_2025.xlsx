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amp; Instructions" sheetId="1" state="visible" r:id="rId1"/>
    <sheet name="Understanding &amp; RoMM" sheetId="2" state="visible" r:id="rId2"/>
    <sheet name="Audit Program" sheetId="3" state="visible" r:id="rId3"/>
    <sheet name="Lead &amp; Summary" sheetId="4" state="visible" r:id="rId4"/>
    <sheet name="GL Reconciliation" sheetId="5" state="visible" r:id="rId5"/>
    <sheet name="Aging &amp; Grace Analysis" sheetId="6" state="visible" r:id="rId6"/>
    <sheet name="MUS Sampling" sheetId="7" state="visible" r:id="rId7"/>
    <sheet name="Sample Testing" sheetId="8" state="visible" r:id="rId8"/>
    <sheet name="Subsequent Realization" sheetId="9" state="visible" r:id="rId9"/>
    <sheet name="Policy Loan &amp; Surrender" sheetId="10" state="visible" r:id="rId10"/>
    <sheet name="Cut-off &amp; Analytics" sheetId="11" state="visible" r:id="rId11"/>
    <sheet name="Exceptions Summary" sheetId="12" state="visible" r:id="rId12"/>
    <sheet name="Conclusion &amp; Certificate" sheetId="13" state="visible" r:id="rId13"/>
    <sheet name="PBC &amp; Documents" sheetId="14" state="visible" r:id="rId14"/>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sz val="14"/>
    </font>
    <font>
      <name val="Calibri"/>
      <b val="1"/>
      <sz val="12"/>
    </font>
    <font>
      <name val="Calibri"/>
      <b val="1"/>
      <sz val="11"/>
    </font>
    <font>
      <name val="Calibri"/>
      <sz val="11"/>
    </font>
    <font>
      <b val="1"/>
      <sz val="12"/>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6" fillId="2" borderId="0" pivotButton="0" quotePrefix="0" xfId="0"/>
    <xf numFmtId="0" fontId="4" fillId="0" borderId="1" applyAlignment="1" pivotButton="0" quotePrefix="0" xfId="0">
      <alignment horizontal="left" vertical="center" wrapText="1"/>
    </xf>
    <xf numFmtId="0" fontId="3" fillId="3" borderId="0" pivotButton="0" quotePrefix="0" xfId="0"/>
    <xf numFmtId="0" fontId="0" fillId="0" borderId="0" applyAlignment="1" pivotButton="0" quotePrefix="0" xfId="0">
      <alignment horizontal="left" vertical="center" wrapText="1"/>
    </xf>
    <xf numFmtId="0" fontId="6"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0" pivotButton="0" quotePrefix="0" xfId="0"/>
    <xf numFmtId="164" fontId="4" fillId="0" borderId="1" applyAlignment="1" pivotButton="0" quotePrefix="0" xfId="0">
      <alignment horizontal="left" vertical="center" wrapText="1"/>
    </xf>
    <xf numFmtId="0" fontId="4" fillId="3" borderId="1"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5" customWidth="1" min="1" max="1"/>
    <col width="25" customWidth="1" min="2" max="2"/>
    <col width="60" customWidth="1" min="3" max="3"/>
    <col width="20" customWidth="1" min="4" max="4"/>
    <col width="15" customWidth="1" min="5" max="5"/>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Index and Instructions for Net Outstanding Premium Workpaper</t>
        </is>
      </c>
    </row>
    <row r="11">
      <c r="A11" s="4" t="inlineStr">
        <is>
          <t>Purpose: To provide navigation and guidance for completing the workpaper</t>
        </is>
      </c>
    </row>
    <row r="13">
      <c r="A13" s="5" t="inlineStr">
        <is>
          <t>WORKPAPER INDEX</t>
        </is>
      </c>
    </row>
    <row r="15">
      <c r="A15" s="6" t="inlineStr">
        <is>
          <t>Sheet No</t>
        </is>
      </c>
      <c r="B15" s="6" t="inlineStr">
        <is>
          <t>Sheet Name</t>
        </is>
      </c>
      <c r="C15" s="6" t="inlineStr">
        <is>
          <t>Purpose / Contents</t>
        </is>
      </c>
      <c r="D15" s="6" t="inlineStr">
        <is>
          <t>Key Assertions</t>
        </is>
      </c>
      <c r="E15" s="6" t="inlineStr">
        <is>
          <t>Status</t>
        </is>
      </c>
    </row>
    <row r="16">
      <c r="A16" s="6" t="inlineStr">
        <is>
          <t>1</t>
        </is>
      </c>
      <c r="B16" s="6" t="inlineStr">
        <is>
          <t>Index &amp; Instructions</t>
        </is>
      </c>
      <c r="C16" s="6" t="inlineStr">
        <is>
          <t>Navigation, key definitions, completion instructions</t>
        </is>
      </c>
      <c r="D16" s="6" t="inlineStr">
        <is>
          <t>N/A</t>
        </is>
      </c>
      <c r="E16" s="6" t="inlineStr"/>
    </row>
    <row r="17">
      <c r="A17" s="6" t="inlineStr">
        <is>
          <t>2</t>
        </is>
      </c>
      <c r="B17" s="6" t="inlineStr">
        <is>
          <t>Understanding &amp; RoMM</t>
        </is>
      </c>
      <c r="C17" s="6" t="inlineStr">
        <is>
          <t>Business understanding, accounting policy, regulatory framework, RoMM</t>
        </is>
      </c>
      <c r="D17" s="6" t="inlineStr">
        <is>
          <t>All</t>
        </is>
      </c>
      <c r="E17" s="6" t="inlineStr"/>
    </row>
    <row r="18">
      <c r="A18" s="6" t="inlineStr">
        <is>
          <t>3</t>
        </is>
      </c>
      <c r="B18" s="6" t="inlineStr">
        <is>
          <t>Audit Program</t>
        </is>
      </c>
      <c r="C18" s="6" t="inlineStr">
        <is>
          <t>Detailed audit procedures with assertion mapping</t>
        </is>
      </c>
      <c r="D18" s="6" t="inlineStr">
        <is>
          <t>All</t>
        </is>
      </c>
      <c r="E18" s="6" t="inlineStr"/>
    </row>
    <row r="19">
      <c r="A19" s="6" t="inlineStr">
        <is>
          <t>4</t>
        </is>
      </c>
      <c r="B19" s="6" t="inlineStr">
        <is>
          <t>Lead &amp; Summary</t>
        </is>
      </c>
      <c r="C19" s="6" t="inlineStr">
        <is>
          <t>FS to GL to Sub-ledger reconciliation, materiality</t>
        </is>
      </c>
      <c r="D19" s="6" t="inlineStr">
        <is>
          <t>C, A, V</t>
        </is>
      </c>
      <c r="E19" s="6" t="inlineStr"/>
    </row>
    <row r="20">
      <c r="A20" s="6" t="inlineStr">
        <is>
          <t>5</t>
        </is>
      </c>
      <c r="B20" s="6" t="inlineStr">
        <is>
          <t>GL Reconciliation</t>
        </is>
      </c>
      <c r="C20" s="6" t="inlineStr">
        <is>
          <t>TB vs GL vs Sub-ledger detailed rec</t>
        </is>
      </c>
      <c r="D20" s="6" t="inlineStr">
        <is>
          <t>C, A</t>
        </is>
      </c>
      <c r="E20" s="6" t="inlineStr"/>
    </row>
    <row r="21">
      <c r="A21" s="6" t="inlineStr">
        <is>
          <t>6</t>
        </is>
      </c>
      <c r="B21" s="6" t="inlineStr">
        <is>
          <t>Aging &amp; Grace Analysis</t>
        </is>
      </c>
      <c r="C21" s="6" t="inlineStr">
        <is>
          <t>Aging bucket, 90-day grace period calculation</t>
        </is>
      </c>
      <c r="D21" s="6" t="inlineStr">
        <is>
          <t>E, V, Cut-off</t>
        </is>
      </c>
      <c r="E21" s="6" t="inlineStr"/>
    </row>
    <row r="22">
      <c r="A22" s="6" t="inlineStr">
        <is>
          <t>7</t>
        </is>
      </c>
      <c r="B22" s="6" t="inlineStr">
        <is>
          <t>MUS Sampling</t>
        </is>
      </c>
      <c r="C22" s="6" t="inlineStr">
        <is>
          <t>MUS sampling plan, interval, sample selection log</t>
        </is>
      </c>
      <c r="D22" s="6" t="inlineStr">
        <is>
          <t>Sampling</t>
        </is>
      </c>
      <c r="E22" s="6" t="inlineStr"/>
    </row>
    <row r="23">
      <c r="A23" s="6" t="inlineStr">
        <is>
          <t>8</t>
        </is>
      </c>
      <c r="B23" s="6" t="inlineStr">
        <is>
          <t>Sample Testing</t>
        </is>
      </c>
      <c r="C23" s="6" t="inlineStr">
        <is>
          <t>Detailed testing of 5 MUS samples</t>
        </is>
      </c>
      <c r="D23" s="6" t="inlineStr">
        <is>
          <t>E, V, R&amp;O</t>
        </is>
      </c>
      <c r="E23" s="6" t="inlineStr"/>
    </row>
    <row r="24">
      <c r="A24" s="6" t="inlineStr">
        <is>
          <t>9</t>
        </is>
      </c>
      <c r="B24" s="6" t="inlineStr">
        <is>
          <t>Subsequent Realization</t>
        </is>
      </c>
      <c r="C24" s="6" t="inlineStr">
        <is>
          <t>100% subsequent collection/adjustment test for certificate</t>
        </is>
      </c>
      <c r="D24" s="6" t="inlineStr">
        <is>
          <t>E, V, Subsequent Event</t>
        </is>
      </c>
      <c r="E24" s="6" t="inlineStr"/>
    </row>
    <row r="25">
      <c r="A25" s="6" t="inlineStr">
        <is>
          <t>10</t>
        </is>
      </c>
      <c r="B25" s="6" t="inlineStr">
        <is>
          <t>Policy Loan &amp; Surrender</t>
        </is>
      </c>
      <c r="C25" s="6" t="inlineStr">
        <is>
          <t>Testing auto policy loan &amp; auto surrender logic after grace</t>
        </is>
      </c>
      <c r="D25" s="6" t="inlineStr">
        <is>
          <t>E, V, R&amp;O</t>
        </is>
      </c>
      <c r="E25" s="6" t="inlineStr"/>
    </row>
    <row r="26">
      <c r="A26" s="6" t="inlineStr">
        <is>
          <t>11</t>
        </is>
      </c>
      <c r="B26" s="6" t="inlineStr">
        <is>
          <t>Cut-off &amp; Analytics</t>
        </is>
      </c>
      <c r="C26" s="6" t="inlineStr">
        <is>
          <t>Cut-off, analytical procedures, negative/duplicates</t>
        </is>
      </c>
      <c r="D26" s="6" t="inlineStr">
        <is>
          <t>C, Cut-off, E</t>
        </is>
      </c>
      <c r="E26" s="6" t="inlineStr"/>
    </row>
    <row r="27">
      <c r="A27" s="6" t="inlineStr">
        <is>
          <t>12</t>
        </is>
      </c>
      <c r="B27" s="6" t="inlineStr">
        <is>
          <t>Exceptions Summary</t>
        </is>
      </c>
      <c r="C27" s="6" t="inlineStr">
        <is>
          <t>Log of all exceptions, impact assessment</t>
        </is>
      </c>
      <c r="D27" s="6" t="inlineStr">
        <is>
          <t>N/A</t>
        </is>
      </c>
      <c r="E27" s="6" t="inlineStr"/>
    </row>
    <row r="28">
      <c r="A28" s="6" t="inlineStr">
        <is>
          <t>13</t>
        </is>
      </c>
      <c r="B28" s="6" t="inlineStr">
        <is>
          <t>Conclusion &amp; Certificate</t>
        </is>
      </c>
      <c r="C28" s="6" t="inlineStr">
        <is>
          <t>Overall conclusion and draft certificate wording</t>
        </is>
      </c>
      <c r="D28" s="6" t="inlineStr">
        <is>
          <t>N/A</t>
        </is>
      </c>
      <c r="E28" s="6" t="inlineStr"/>
    </row>
    <row r="29">
      <c r="A29" s="6" t="inlineStr">
        <is>
          <t>14</t>
        </is>
      </c>
      <c r="B29" s="6" t="inlineStr">
        <is>
          <t>PBC &amp; Documents</t>
        </is>
      </c>
      <c r="C29" s="6" t="inlineStr">
        <is>
          <t>List of PBC documents received and pending</t>
        </is>
      </c>
      <c r="D29" s="6" t="inlineStr">
        <is>
          <t>N/A</t>
        </is>
      </c>
      <c r="E29" s="6" t="inlineStr"/>
    </row>
    <row r="31">
      <c r="A31" s="7" t="inlineStr">
        <is>
          <t>KEY DEFINITIONS &amp; INSTRUCTIONS</t>
        </is>
      </c>
    </row>
    <row r="32">
      <c r="A32" s="8" t="inlineStr">
        <is>
          <t>1. Net Outstanding Premium = Due premium from policyholders not received as at 31 Dec 2025 but within 90-day grace period.</t>
        </is>
      </c>
    </row>
    <row r="33">
      <c r="A33" s="8" t="inlineStr">
        <is>
          <t>2. Grace Period: 90 calendar days from premium due date. Policy remains in force during grace.</t>
        </is>
      </c>
    </row>
    <row r="34">
      <c r="A34" s="8" t="inlineStr">
        <is>
          <t>3. After grace: If cash value sufficient =&gt; Auto Policy Loan created. If not =&gt; Auto Surrender on last day of grace.</t>
        </is>
      </c>
    </row>
    <row r="35">
      <c r="A35" s="8" t="inlineStr">
        <is>
          <t>4. Certificate Requirement: Must confirm ALL outstanding as at 31 Dec 2025 either (a) Subsequently realized in cash/bank OR (b) Adjusted via policy loan OR (c) Adjusted via surrender. No open item beyond grace + processing.</t>
        </is>
      </c>
    </row>
    <row r="36">
      <c r="A36" s="8" t="inlineStr">
        <is>
          <t>5. Testing Approach: (i) Reconcile FS-GL-Subledger, (ii) Test aging &amp; grace logic, (iii) MUS 5 samples for detailed vouching, (iv) 100% subsequent realization testing for certificate (population 1,435,719,236 Tk).</t>
        </is>
      </c>
    </row>
    <row r="37">
      <c r="A37" s="8" t="inlineStr">
        <is>
          <t>6. Assertions: E=Existence, C=Completeness, V=Valuation/Accuracy, R&amp;O=Rights &amp; Obligations, P=Presentation &amp; Disclosure, Cut-off.</t>
        </is>
      </c>
    </row>
    <row r="38">
      <c r="A38" s="8" t="inlineStr">
        <is>
          <t>7. For each sample, attach evidence: Policy schedule, premium receipt, bank statement, policy loan ledger, surrender voucher.</t>
        </is>
      </c>
    </row>
    <row r="39">
      <c r="A39" s="8" t="inlineStr">
        <is>
          <t>8. Document all exceptions in Sheet 12 and assess impact on certificate.</t>
        </is>
      </c>
    </row>
    <row r="40">
      <c r="A40" s="8" t="inlineStr">
        <is>
          <t>9. Keep all formulas intact; fill YELLOW cells only.</t>
        </is>
      </c>
    </row>
    <row r="41">
      <c r="A41" s="8" t="inlineStr">
        <is>
          <t>10. IDRA Requirement: Outstanding premium to be shown as current asset only if due within grace period and policy in-force.</t>
        </is>
      </c>
    </row>
  </sheetData>
  <mergeCells count="10">
    <mergeCell ref="A39:E39"/>
    <mergeCell ref="A34:E34"/>
    <mergeCell ref="A35:E35"/>
    <mergeCell ref="A38:E38"/>
    <mergeCell ref="A41:E41"/>
    <mergeCell ref="A33:E33"/>
    <mergeCell ref="A37:E37"/>
    <mergeCell ref="A32:E32"/>
    <mergeCell ref="A36:E36"/>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0" customWidth="1" min="1" max="1"/>
    <col width="50" customWidth="1" min="2" max="2"/>
    <col width="20" customWidth="1" min="3" max="3"/>
    <col width="20" customWidth="1" min="4" max="4"/>
    <col width="20" customWidth="1" min="5" max="5"/>
    <col width="45" customWidth="1" min="6" max="6"/>
    <col width="20" customWidth="1" min="7" max="7"/>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Understanding of Net Outstanding Premium and Risk Assessment</t>
        </is>
      </c>
    </row>
    <row r="11">
      <c r="A11" s="4" t="inlineStr">
        <is>
          <t>Purpose: To document understanding of business process, accounting policy, regulatory requirements and identify RoMM</t>
        </is>
      </c>
    </row>
    <row r="13">
      <c r="A13" s="7" t="inlineStr">
        <is>
          <t>A. BUSINESS PROCESS UNDERSTANDING</t>
        </is>
      </c>
    </row>
    <row r="14">
      <c r="A14" s="9" t="inlineStr">
        <is>
          <t>Process Step</t>
        </is>
      </c>
      <c r="B14" s="9" t="inlineStr">
        <is>
          <t>Description</t>
        </is>
      </c>
      <c r="C14" s="9" t="inlineStr">
        <is>
          <t>System/Control</t>
        </is>
      </c>
      <c r="D14" s="9" t="inlineStr">
        <is>
          <t>Control Owner</t>
        </is>
      </c>
      <c r="E14" s="9" t="inlineStr">
        <is>
          <t>Auditor Notes</t>
        </is>
      </c>
    </row>
    <row r="15">
      <c r="A15" s="6" t="inlineStr">
        <is>
          <t>1. Premium Due</t>
        </is>
      </c>
      <c r="B15" s="6" t="inlineStr">
        <is>
          <t>Premium becomes due as per policy schedule (monthly/quarterly/half-yearly/yearly mode)</t>
        </is>
      </c>
      <c r="C15" s="6" t="inlineStr">
        <is>
          <t>Life Asia / Policy Admin System</t>
        </is>
      </c>
      <c r="D15" s="6" t="inlineStr">
        <is>
          <t>Premium Accounting</t>
        </is>
      </c>
      <c r="E15" s="6" t="inlineStr"/>
    </row>
    <row r="16">
      <c r="A16" s="6" t="inlineStr">
        <is>
          <t>2. Billing &amp; Notice</t>
        </is>
      </c>
      <c r="B16" s="6" t="inlineStr">
        <is>
          <t>Premium notice generated and sent to policyholder 15 days before due date</t>
        </is>
      </c>
      <c r="C16" s="6" t="inlineStr">
        <is>
          <t>Automated</t>
        </is>
      </c>
      <c r="D16" s="6" t="inlineStr">
        <is>
          <t>Operations</t>
        </is>
      </c>
      <c r="E16" s="6" t="inlineStr"/>
    </row>
    <row r="17">
      <c r="A17" s="6" t="inlineStr">
        <is>
          <t>3. Outstanding Recognition</t>
        </is>
      </c>
      <c r="B17" s="6" t="inlineStr">
        <is>
          <t>If not received on due date, premium is moved to Outstanding Premium (Asset) - GL Code XXXX</t>
        </is>
      </c>
      <c r="C17" s="6" t="inlineStr">
        <is>
          <t>Life Asia</t>
        </is>
      </c>
      <c r="D17" s="6" t="inlineStr">
        <is>
          <t>Finance</t>
        </is>
      </c>
      <c r="E17" s="6" t="inlineStr">
        <is>
          <t>Check auto creation</t>
        </is>
      </c>
    </row>
    <row r="18">
      <c r="A18" s="6" t="inlineStr">
        <is>
          <t>4. Grace Period</t>
        </is>
      </c>
      <c r="B18" s="6" t="inlineStr">
        <is>
          <t>90 days grace provided per policy terms. During grace, policy remains in-force and claims payable</t>
        </is>
      </c>
      <c r="C18" s="6" t="inlineStr">
        <is>
          <t>Policy Terms</t>
        </is>
      </c>
      <c r="D18" s="6" t="inlineStr">
        <is>
          <t>N/A - Policy condition</t>
        </is>
      </c>
      <c r="E18" s="6" t="inlineStr">
        <is>
          <t>Verify 90 days per product?</t>
        </is>
      </c>
    </row>
    <row r="19">
      <c r="A19" s="6" t="inlineStr">
        <is>
          <t>5. Collection during grace</t>
        </is>
      </c>
      <c r="B19" s="6" t="inlineStr">
        <is>
          <t>If collected within grace, outstanding reversed, cash/bank Dr, Premium income Cr (if not already recognized) or Outstanding Cr</t>
        </is>
      </c>
      <c r="C19" s="6" t="inlineStr">
        <is>
          <t>Cashier / Bank</t>
        </is>
      </c>
      <c r="D19" s="6" t="inlineStr">
        <is>
          <t>Finance</t>
        </is>
      </c>
      <c r="E19" s="6" t="inlineStr"/>
    </row>
    <row r="20">
      <c r="A20" s="6" t="inlineStr">
        <is>
          <t>6a. After Grace - Cash Value Available</t>
        </is>
      </c>
      <c r="B20" s="6" t="inlineStr">
        <is>
          <t>Auto Policy Loan created at end of grace to cover outstanding. Policy continues. Loan interest accrues</t>
        </is>
      </c>
      <c r="C20" s="6" t="inlineStr">
        <is>
          <t>Life Asia Auto Job - End of grace batch</t>
        </is>
      </c>
      <c r="D20" s="6" t="inlineStr">
        <is>
          <t>Actuarial / Finance</t>
        </is>
      </c>
      <c r="E20" s="6" t="inlineStr">
        <is>
          <t>Test loan creation logic</t>
        </is>
      </c>
    </row>
    <row r="21">
      <c r="A21" s="6" t="inlineStr">
        <is>
          <t>6b. After Grace - No Cash Value</t>
        </is>
      </c>
      <c r="B21" s="6" t="inlineStr">
        <is>
          <t>Policy auto-surrendered on last day of grace. Outstanding reversed, liability released, surrender benefit if any</t>
        </is>
      </c>
      <c r="C21" s="6" t="inlineStr">
        <is>
          <t>Life Asia Auto Job</t>
        </is>
      </c>
      <c r="D21" s="6" t="inlineStr">
        <is>
          <t>Operations</t>
        </is>
      </c>
      <c r="E21" s="6" t="inlineStr">
        <is>
          <t>Test surrender logic</t>
        </is>
      </c>
    </row>
    <row r="22">
      <c r="A22" s="6" t="inlineStr">
        <is>
          <t>7. Reporting</t>
        </is>
      </c>
      <c r="B22" s="6" t="inlineStr">
        <is>
          <t>Outstanding Premium reported as Current Asset in Balance Sheet</t>
        </is>
      </c>
      <c r="C22" s="6" t="inlineStr">
        <is>
          <t>Financial Reporting</t>
        </is>
      </c>
      <c r="D22" s="6" t="inlineStr">
        <is>
          <t>Finance</t>
        </is>
      </c>
      <c r="E22" s="6" t="inlineStr"/>
    </row>
    <row r="24">
      <c r="A24" s="7" t="inlineStr">
        <is>
          <t>B. ACCOUNTING POLICY (As per Company &amp; IFRS)</t>
        </is>
      </c>
    </row>
    <row r="25">
      <c r="A25" t="inlineStr">
        <is>
          <t>As per company policy: Premium income recognized on due basis. Outstanding premium recognized as asset when due but not received, provided policy is in-force and within grace period.</t>
        </is>
      </c>
    </row>
    <row r="26">
      <c r="A26" t="inlineStr">
        <is>
          <t>Under IFRS 4 / IFRS 17 (if adopted): Outstanding premium considered as insurance contract asset / premium receivable. Need to assess ECL under IFRS 9 if applicable (for deposit components).</t>
        </is>
      </c>
    </row>
    <row r="27">
      <c r="A27" t="inlineStr">
        <is>
          <t>Measurement: At gross premium amount due, net of any provision for doubtful (if any). No provision typically as adjusted via loan/surrender.</t>
        </is>
      </c>
    </row>
    <row r="28">
      <c r="A28" t="inlineStr">
        <is>
          <t>Presentation: Current Asset - 'Net Outstanding Premium' - Separate line item.</t>
        </is>
      </c>
    </row>
    <row r="29">
      <c r="A29" t="inlineStr">
        <is>
          <t>Derecognition: On subsequent collection, policy loan creation, or policy surrender.</t>
        </is>
      </c>
    </row>
    <row r="31">
      <c r="A31" s="7" t="inlineStr">
        <is>
          <t>C. REGULATORY FRAMEWORK</t>
        </is>
      </c>
    </row>
    <row r="32">
      <c r="A32" t="inlineStr">
        <is>
          <t>Regulation</t>
        </is>
      </c>
      <c r="B32" t="inlineStr">
        <is>
          <t>Requirement</t>
        </is>
      </c>
      <c r="C32" t="inlineStr">
        <is>
          <t>Compliance Check</t>
        </is>
      </c>
      <c r="D32" t="inlineStr">
        <is>
          <t>Reference</t>
        </is>
      </c>
    </row>
    <row r="33">
      <c r="A33" t="inlineStr">
        <is>
          <t>Insurance Act 2010 - Section 60 &amp; 4th Schedule</t>
        </is>
      </c>
      <c r="B33" t="inlineStr">
        <is>
          <t>Maintenance of books, outstanding premium as admissible asset only if realized within grace</t>
        </is>
      </c>
      <c r="C33" t="inlineStr">
        <is>
          <t>Verify aging &lt;=90 days</t>
        </is>
      </c>
      <c r="D33" t="inlineStr"/>
    </row>
    <row r="34">
      <c r="A34" t="inlineStr">
        <is>
          <t>IDRA Circular / Guidelines on Premium Income Recognition</t>
        </is>
      </c>
      <c r="B34" t="inlineStr">
        <is>
          <t>Premium outstanding beyond grace period cannot be shown as asset unless covered by policy loan</t>
        </is>
      </c>
      <c r="C34" t="inlineStr">
        <is>
          <t>Check no &gt;90 days in FS</t>
        </is>
      </c>
      <c r="D34" t="inlineStr"/>
    </row>
    <row r="35">
      <c r="A35" t="inlineStr">
        <is>
          <t>IDRA Rules on Policy Loan</t>
        </is>
      </c>
      <c r="B35" t="inlineStr">
        <is>
          <t>Auto policy loan allowed only if cash value sufficient after deducting existing loans</t>
        </is>
      </c>
      <c r="C35" t="inlineStr">
        <is>
          <t>Verify cash value check</t>
        </is>
      </c>
      <c r="D35" t="inlineStr"/>
    </row>
    <row r="36">
      <c r="A36" t="inlineStr">
        <is>
          <t>IFRS 4 / IFRS 17</t>
        </is>
      </c>
      <c r="B36" t="inlineStr">
        <is>
          <t>Premium receivable presentation, liability adequacy</t>
        </is>
      </c>
      <c r="C36" t="inlineStr">
        <is>
          <t>Disclose</t>
        </is>
      </c>
      <c r="D36" t="inlineStr"/>
    </row>
    <row r="37">
      <c r="A37" t="inlineStr">
        <is>
          <t>Income Tax Ordinance 1984 - 4th Schedule</t>
        </is>
      </c>
      <c r="B37" t="inlineStr">
        <is>
          <t>Outstanding premium part of life fund - tax implications</t>
        </is>
      </c>
      <c r="C37" t="inlineStr">
        <is>
          <t>For info</t>
        </is>
      </c>
      <c r="D37" t="inlineStr"/>
    </row>
    <row r="39">
      <c r="A39" s="7" t="inlineStr">
        <is>
          <t>D. RISK OF MATERIAL MISSTATEMENT (RoMM)</t>
        </is>
      </c>
    </row>
    <row r="40">
      <c r="A40" s="9" t="inlineStr">
        <is>
          <t>Sl</t>
        </is>
      </c>
      <c r="B40" s="9" t="inlineStr">
        <is>
          <t>Risk Description</t>
        </is>
      </c>
      <c r="C40" s="9" t="inlineStr">
        <is>
          <t>Assertion Affected</t>
        </is>
      </c>
      <c r="D40" s="9" t="inlineStr">
        <is>
          <t>Risk Rating (H/M/L)</t>
        </is>
      </c>
      <c r="E40" s="9" t="inlineStr">
        <is>
          <t>Fraud Risk?</t>
        </is>
      </c>
      <c r="F40" s="9" t="inlineStr">
        <is>
          <t>Response / Planned Procedure</t>
        </is>
      </c>
      <c r="G40" s="9" t="inlineStr">
        <is>
          <t>WP Ref</t>
        </is>
      </c>
    </row>
    <row r="41">
      <c r="A41" s="6" t="inlineStr">
        <is>
          <t>1</t>
        </is>
      </c>
      <c r="B41" s="6" t="inlineStr">
        <is>
          <t>Outstanding premium includes premiums due beyond 90-day grace period (overstated asset)</t>
        </is>
      </c>
      <c r="C41" s="6" t="inlineStr">
        <is>
          <t>Existence, Valuation</t>
        </is>
      </c>
      <c r="D41" s="6" t="inlineStr">
        <is>
          <t>High</t>
        </is>
      </c>
      <c r="E41" s="6" t="inlineStr">
        <is>
          <t>No</t>
        </is>
      </c>
      <c r="F41" s="6" t="inlineStr">
        <is>
          <t>Aging analysis + grace period recalculation for 100% population + cut-off</t>
        </is>
      </c>
      <c r="G41" s="6" t="inlineStr"/>
    </row>
    <row r="42">
      <c r="A42" s="6" t="inlineStr">
        <is>
          <t>2</t>
        </is>
      </c>
      <c r="B42" s="6" t="inlineStr">
        <is>
          <t>Outstanding premium includes lapsed/surrendered/cancelled policies (fictitious)</t>
        </is>
      </c>
      <c r="C42" s="6" t="inlineStr">
        <is>
          <t>Existence</t>
        </is>
      </c>
      <c r="D42" s="6" t="inlineStr">
        <is>
          <t>High</t>
        </is>
      </c>
      <c r="E42" s="6" t="inlineStr">
        <is>
          <t>Yes - Potential</t>
        </is>
      </c>
      <c r="F42" s="6" t="inlineStr">
        <is>
          <t>Verify policy status in admin system for MUS samples + analytical check of lapsed list</t>
        </is>
      </c>
      <c r="G42" s="6" t="inlineStr"/>
    </row>
    <row r="43">
      <c r="A43" s="6" t="inlineStr">
        <is>
          <t>3</t>
        </is>
      </c>
      <c r="B43" s="6" t="inlineStr">
        <is>
          <t>Premium amount incorrect (not as per policy schedule / incorrect mode)</t>
        </is>
      </c>
      <c r="C43" s="6" t="inlineStr">
        <is>
          <t>Valuation / Accuracy</t>
        </is>
      </c>
      <c r="D43" s="6" t="inlineStr">
        <is>
          <t>Medium</t>
        </is>
      </c>
      <c r="E43" s="6" t="inlineStr">
        <is>
          <t>No</t>
        </is>
      </c>
      <c r="F43" s="6" t="inlineStr">
        <is>
          <t>Vouch premium amount to policy schedule for samples</t>
        </is>
      </c>
      <c r="G43" s="6" t="inlineStr"/>
    </row>
    <row r="44">
      <c r="A44" s="6" t="inlineStr">
        <is>
          <t>4</t>
        </is>
      </c>
      <c r="B44" s="6" t="inlineStr">
        <is>
          <t>Outstanding premium not subsequently realized/adjusted but certificate to be issued (regulatory breach)</t>
        </is>
      </c>
      <c r="C44" s="6" t="inlineStr">
        <is>
          <t>Existence, Subsequent Event, Presentation</t>
        </is>
      </c>
      <c r="D44" s="6" t="inlineStr">
        <is>
          <t>High</t>
        </is>
      </c>
      <c r="E44" s="6" t="inlineStr">
        <is>
          <t>Yes</t>
        </is>
      </c>
      <c r="F44" s="6" t="inlineStr">
        <is>
          <t>100% subsequent realization testing up to certificate date + policy loan/surrender verification</t>
        </is>
      </c>
      <c r="G44" s="6" t="inlineStr"/>
    </row>
    <row r="45">
      <c r="A45" s="6" t="inlineStr">
        <is>
          <t>5</t>
        </is>
      </c>
      <c r="B45" s="6" t="inlineStr">
        <is>
          <t>Cut-off error: Premium due after 31 Dec included or due before excluded</t>
        </is>
      </c>
      <c r="C45" s="6" t="inlineStr">
        <is>
          <t>Completeness, Cut-off</t>
        </is>
      </c>
      <c r="D45" s="6" t="inlineStr">
        <is>
          <t>Medium</t>
        </is>
      </c>
      <c r="E45" s="6" t="inlineStr">
        <is>
          <t>No</t>
        </is>
      </c>
      <c r="F45" s="6" t="inlineStr">
        <is>
          <t>Cut-off testing 15 days before and after year end</t>
        </is>
      </c>
      <c r="G45" s="6" t="inlineStr"/>
    </row>
    <row r="46">
      <c r="A46" s="6" t="inlineStr">
        <is>
          <t>6</t>
        </is>
      </c>
      <c r="B46" s="6" t="inlineStr">
        <is>
          <t>Duplicate policy in outstanding list</t>
        </is>
      </c>
      <c r="C46" s="6" t="inlineStr">
        <is>
          <t>Existence, Valuation</t>
        </is>
      </c>
      <c r="D46" s="6" t="inlineStr">
        <is>
          <t>Medium</t>
        </is>
      </c>
      <c r="E46" s="6" t="inlineStr">
        <is>
          <t>No</t>
        </is>
      </c>
      <c r="F46" s="6" t="inlineStr">
        <is>
          <t>Duplicate check using Excel conditional formatting / pivot</t>
        </is>
      </c>
      <c r="G46" s="6" t="inlineStr"/>
    </row>
    <row r="47">
      <c r="A47" s="6" t="inlineStr">
        <is>
          <t>7</t>
        </is>
      </c>
      <c r="B47" s="6" t="inlineStr">
        <is>
          <t>Policy loan auto-creation logic failure - premium still shown outstanding though loan should have been created</t>
        </is>
      </c>
      <c r="C47" s="6" t="inlineStr">
        <is>
          <t>Valuation, Completeness</t>
        </is>
      </c>
      <c r="D47" s="6" t="inlineStr">
        <is>
          <t>Medium</t>
        </is>
      </c>
      <c r="E47" s="6" t="inlineStr">
        <is>
          <t>No</t>
        </is>
      </c>
      <c r="F47" s="6" t="inlineStr">
        <is>
          <t>Test auto loan batch job for policies where grace ended before audit date</t>
        </is>
      </c>
      <c r="G47" s="6" t="inlineStr"/>
    </row>
    <row r="48">
      <c r="A48" s="6" t="inlineStr">
        <is>
          <t>8</t>
        </is>
      </c>
      <c r="B48" s="6" t="inlineStr">
        <is>
          <t>Provision for doubtful outstanding not considered (if any uncollectible)</t>
        </is>
      </c>
      <c r="C48" s="6" t="inlineStr">
        <is>
          <t>Valuation</t>
        </is>
      </c>
      <c r="D48" s="6" t="inlineStr">
        <is>
          <t>Low</t>
        </is>
      </c>
      <c r="E48" s="6" t="inlineStr">
        <is>
          <t>No</t>
        </is>
      </c>
      <c r="F48" s="6" t="inlineStr">
        <is>
          <t>Assess historical collection rate, discuss with management</t>
        </is>
      </c>
      <c r="G48" s="6" t="inlineStr"/>
    </row>
  </sheetData>
  <mergeCells count="5">
    <mergeCell ref="A29:E29"/>
    <mergeCell ref="A26:E26"/>
    <mergeCell ref="A28:E28"/>
    <mergeCell ref="A25:E25"/>
    <mergeCell ref="A27:E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5" customWidth="1" min="1" max="1"/>
    <col width="30" customWidth="1" min="2" max="2"/>
    <col width="15" customWidth="1" min="3" max="3"/>
    <col width="70" customWidth="1" min="4" max="4"/>
    <col width="12" customWidth="1" min="5" max="5"/>
    <col width="12" customWidth="1" min="6" max="6"/>
    <col width="15" customWidth="1" min="7" max="7"/>
    <col width="20" customWidth="1" min="8" max="8"/>
    <col width="30" customWidth="1" min="9" max="9"/>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Audit Program - Net Outstanding Premium</t>
        </is>
      </c>
    </row>
    <row r="11">
      <c r="A11" s="4" t="inlineStr">
        <is>
          <t>Purpose: To document planned and performed audit procedures to address RoMM</t>
        </is>
      </c>
    </row>
    <row r="13">
      <c r="A13" s="9" t="inlineStr">
        <is>
          <t>Sl</t>
        </is>
      </c>
      <c r="B13" s="9" t="inlineStr">
        <is>
          <t>Audit Objective</t>
        </is>
      </c>
      <c r="C13" s="9" t="inlineStr">
        <is>
          <t>Assertion</t>
        </is>
      </c>
      <c r="D13" s="9" t="inlineStr">
        <is>
          <t>Audit Procedure</t>
        </is>
      </c>
      <c r="E13" s="9" t="inlineStr">
        <is>
          <t>Performed By</t>
        </is>
      </c>
      <c r="F13" s="9" t="inlineStr">
        <is>
          <t>Date</t>
        </is>
      </c>
      <c r="G13" s="9" t="inlineStr">
        <is>
          <t>WP Ref</t>
        </is>
      </c>
      <c r="H13" s="9" t="inlineStr">
        <is>
          <t>Result (Pass/Fail/Exception)</t>
        </is>
      </c>
      <c r="I13" s="9" t="inlineStr">
        <is>
          <t>Remarks</t>
        </is>
      </c>
    </row>
    <row r="14">
      <c r="A14" s="6" t="inlineStr">
        <is>
          <t>1</t>
        </is>
      </c>
      <c r="B14" s="6" t="inlineStr">
        <is>
          <t>To ensure outstanding premium balance is accurately recorded and reconciled</t>
        </is>
      </c>
      <c r="C14" s="6" t="inlineStr">
        <is>
          <t>C, A, V</t>
        </is>
      </c>
      <c r="D14" s="6" t="inlineStr">
        <is>
          <t>Obtain detailed outstanding premium list as at 31 Dec 2025 (policy-wise) and reconcile with GL and Financial Statements</t>
        </is>
      </c>
      <c r="E14" s="6" t="inlineStr"/>
      <c r="F14" s="6" t="inlineStr"/>
      <c r="G14" s="6" t="inlineStr">
        <is>
          <t>Lead &amp; GL Rec</t>
        </is>
      </c>
      <c r="H14" s="6" t="inlineStr"/>
      <c r="I14" s="6" t="inlineStr"/>
    </row>
    <row r="15">
      <c r="A15" s="6" t="inlineStr">
        <is>
          <t>2</t>
        </is>
      </c>
      <c r="B15" s="6" t="inlineStr">
        <is>
          <t>To ensure completeness and accuracy of outstanding list</t>
        </is>
      </c>
      <c r="C15" s="6" t="inlineStr">
        <is>
          <t>C, A</t>
        </is>
      </c>
      <c r="D15" s="6" t="inlineStr">
        <is>
          <t>Re-perform aging calculation: Due Date + 90 days = Grace End Date. Ensure no item &gt;90 days overdue as at BS date</t>
        </is>
      </c>
      <c r="E15" s="6" t="inlineStr"/>
      <c r="F15" s="6" t="inlineStr"/>
      <c r="G15" s="6" t="inlineStr">
        <is>
          <t>Aging sheet</t>
        </is>
      </c>
      <c r="H15" s="6" t="inlineStr"/>
      <c r="I15" s="6" t="inlineStr"/>
    </row>
    <row r="16">
      <c r="A16" s="6" t="inlineStr">
        <is>
          <t>3</t>
        </is>
      </c>
      <c r="B16" s="6" t="inlineStr">
        <is>
          <t>To ensure existence and rights</t>
        </is>
      </c>
      <c r="C16" s="6" t="inlineStr">
        <is>
          <t>E, R&amp;O</t>
        </is>
      </c>
      <c r="D16" s="6" t="inlineStr">
        <is>
          <t>Select 5 samples using MUS (based on materiality) and vouch to policy documents, premium schedule, policy status</t>
        </is>
      </c>
      <c r="E16" s="6" t="inlineStr"/>
      <c r="F16" s="6" t="inlineStr"/>
      <c r="G16" s="6" t="inlineStr">
        <is>
          <t>Sample Testing</t>
        </is>
      </c>
      <c r="H16" s="6" t="inlineStr"/>
      <c r="I16" s="6" t="inlineStr"/>
    </row>
    <row r="17">
      <c r="A17" s="6" t="inlineStr">
        <is>
          <t>4</t>
        </is>
      </c>
      <c r="B17" s="6" t="inlineStr">
        <is>
          <t>To ensure valuation is correct</t>
        </is>
      </c>
      <c r="C17" s="6" t="inlineStr">
        <is>
          <t>V</t>
        </is>
      </c>
      <c r="D17" s="6" t="inlineStr">
        <is>
          <t>For 5 MUS samples, agree premium amount to policy schedule / endorsement / premium table</t>
        </is>
      </c>
      <c r="E17" s="6" t="inlineStr"/>
      <c r="F17" s="6" t="inlineStr"/>
      <c r="G17" s="6" t="inlineStr">
        <is>
          <t>Sample Testing</t>
        </is>
      </c>
      <c r="H17" s="6" t="inlineStr"/>
      <c r="I17" s="6" t="inlineStr"/>
    </row>
    <row r="18">
      <c r="A18" s="6" t="inlineStr">
        <is>
          <t>5</t>
        </is>
      </c>
      <c r="B18" s="6" t="inlineStr">
        <is>
          <t>To verify subsequent realization for certificate</t>
        </is>
      </c>
      <c r="C18" s="6" t="inlineStr">
        <is>
          <t>E, V, Subsequent Event</t>
        </is>
      </c>
      <c r="D18" s="6" t="inlineStr">
        <is>
          <t>For 100% population (Taka 1,435,719,236), verify subsequent collection/adjustment up to audit certificate date (e.g., 31 Mar 2026): Check receipt date, amount, bank statement / policy loan ledger / surrender voucher</t>
        </is>
      </c>
      <c r="E18" s="6" t="inlineStr"/>
      <c r="F18" s="6" t="inlineStr"/>
      <c r="G18" s="6" t="inlineStr">
        <is>
          <t>Subsequent Realization</t>
        </is>
      </c>
      <c r="H18" s="6" t="inlineStr"/>
      <c r="I18" s="6" t="inlineStr">
        <is>
          <t>This is critical for certificate</t>
        </is>
      </c>
    </row>
    <row r="19">
      <c r="A19" s="6" t="inlineStr">
        <is>
          <t>6</t>
        </is>
      </c>
      <c r="B19" s="6" t="inlineStr">
        <is>
          <t>To verify auto policy loan creation</t>
        </is>
      </c>
      <c r="C19" s="6" t="inlineStr">
        <is>
          <t>E, V</t>
        </is>
      </c>
      <c r="D19" s="6" t="inlineStr">
        <is>
          <t>For policies where grace ended and cash value available, verify auto policy loan created on last day of grace at correct amount + interest calculation</t>
        </is>
      </c>
      <c r="E19" s="6" t="inlineStr"/>
      <c r="F19" s="6" t="inlineStr"/>
      <c r="G19" s="6" t="inlineStr">
        <is>
          <t>Policy Loan sheet</t>
        </is>
      </c>
      <c r="H19" s="6" t="inlineStr"/>
      <c r="I19" s="6" t="inlineStr"/>
    </row>
    <row r="20">
      <c r="A20" s="6" t="inlineStr">
        <is>
          <t>7</t>
        </is>
      </c>
      <c r="B20" s="6" t="inlineStr">
        <is>
          <t>To verify auto surrender</t>
        </is>
      </c>
      <c r="C20" s="6" t="inlineStr">
        <is>
          <t>E</t>
        </is>
      </c>
      <c r="D20" s="6" t="inlineStr">
        <is>
          <t>For policies where grace ended and no cash value, verify policy auto-surrendered on last day of grace and outstanding reversed</t>
        </is>
      </c>
      <c r="E20" s="6" t="inlineStr"/>
      <c r="F20" s="6" t="inlineStr"/>
      <c r="G20" s="6" t="inlineStr">
        <is>
          <t>Policy Loan sheet</t>
        </is>
      </c>
      <c r="H20" s="6" t="inlineStr"/>
      <c r="I20" s="6" t="inlineStr"/>
    </row>
    <row r="21">
      <c r="A21" s="6" t="inlineStr">
        <is>
          <t>8</t>
        </is>
      </c>
      <c r="B21" s="6" t="inlineStr">
        <is>
          <t>Cut-off testing</t>
        </is>
      </c>
      <c r="C21" s="6" t="inlineStr">
        <is>
          <t>Cut-off, C</t>
        </is>
      </c>
      <c r="D21" s="6" t="inlineStr">
        <is>
          <t>Select 10 policies due within 15 days before and after 31 Dec 2025 and check correct inclusion/exclusion in outstanding list</t>
        </is>
      </c>
      <c r="E21" s="6" t="inlineStr"/>
      <c r="F21" s="6" t="inlineStr"/>
      <c r="G21" s="6" t="inlineStr">
        <is>
          <t>Cut-off</t>
        </is>
      </c>
      <c r="H21" s="6" t="inlineStr"/>
      <c r="I21" s="6" t="inlineStr"/>
    </row>
    <row r="22">
      <c r="A22" s="6" t="inlineStr">
        <is>
          <t>9</t>
        </is>
      </c>
      <c r="B22" s="6" t="inlineStr">
        <is>
          <t>Duplicate and negative testing</t>
        </is>
      </c>
      <c r="C22" s="6" t="inlineStr">
        <is>
          <t>E, V</t>
        </is>
      </c>
      <c r="D22" s="6" t="inlineStr">
        <is>
          <t>Check for duplicate policy numbers and negative outstanding amounts in the list using Excel analysis</t>
        </is>
      </c>
      <c r="E22" s="6" t="inlineStr"/>
      <c r="F22" s="6" t="inlineStr"/>
      <c r="G22" s="6" t="inlineStr">
        <is>
          <t>Cut-off &amp; Analytics</t>
        </is>
      </c>
      <c r="H22" s="6" t="inlineStr"/>
      <c r="I22" s="6" t="inlineStr"/>
    </row>
    <row r="23">
      <c r="A23" s="6" t="inlineStr">
        <is>
          <t>10</t>
        </is>
      </c>
      <c r="B23" s="6" t="inlineStr">
        <is>
          <t>Analytical procedures</t>
        </is>
      </c>
      <c r="C23" s="6" t="inlineStr">
        <is>
          <t>C, V</t>
        </is>
      </c>
      <c r="D23" s="6" t="inlineStr">
        <is>
          <t>Compare outstanding premium ratio (Outstanding / Gross Premium) with PY and budget. Analyze movement of first year vs renewal. Investigate unusual fluctuations &gt;10%</t>
        </is>
      </c>
      <c r="E23" s="6" t="inlineStr"/>
      <c r="F23" s="6" t="inlineStr"/>
      <c r="G23" s="6" t="inlineStr">
        <is>
          <t>Analytics</t>
        </is>
      </c>
      <c r="H23" s="6" t="inlineStr"/>
      <c r="I23" s="6" t="inlineStr"/>
    </row>
    <row r="24">
      <c r="A24" s="6" t="inlineStr">
        <is>
          <t>11</t>
        </is>
      </c>
      <c r="B24" s="6" t="inlineStr">
        <is>
          <t>Lapsed policy cross-check</t>
        </is>
      </c>
      <c r="C24" s="6" t="inlineStr">
        <is>
          <t>E</t>
        </is>
      </c>
      <c r="D24" s="6" t="inlineStr">
        <is>
          <t>Obtain lapsed policy list as at 31 Dec 2025 and ensure none included in outstanding premium list</t>
        </is>
      </c>
      <c r="E24" s="6" t="inlineStr"/>
      <c r="F24" s="6" t="inlineStr"/>
      <c r="G24" s="6" t="inlineStr">
        <is>
          <t>Cut-off</t>
        </is>
      </c>
      <c r="H24" s="6" t="inlineStr"/>
      <c r="I24" s="6" t="inlineStr"/>
    </row>
    <row r="25">
      <c r="A25" s="6" t="inlineStr">
        <is>
          <t>12</t>
        </is>
      </c>
      <c r="B25" s="6" t="inlineStr">
        <is>
          <t>Presentation &amp; Disclosure</t>
        </is>
      </c>
      <c r="C25" s="6" t="inlineStr">
        <is>
          <t>P</t>
        </is>
      </c>
      <c r="D25" s="6" t="inlineStr">
        <is>
          <t>Check FS presentation as Current Asset, note disclosure, compliance with Insurance Act 4th Schedule and IDRA guidelines</t>
        </is>
      </c>
      <c r="E25" s="6" t="inlineStr"/>
      <c r="F25" s="6" t="inlineStr"/>
      <c r="G25" s="6" t="inlineStr">
        <is>
          <t>Lead</t>
        </is>
      </c>
      <c r="H25" s="6" t="inlineStr"/>
      <c r="I25" s="6" t="inlineStr"/>
    </row>
    <row r="26">
      <c r="A26" s="6" t="inlineStr">
        <is>
          <t>13</t>
        </is>
      </c>
      <c r="B26" s="6" t="inlineStr">
        <is>
          <t>Management representation</t>
        </is>
      </c>
      <c r="C26" s="6" t="inlineStr">
        <is>
          <t>All</t>
        </is>
      </c>
      <c r="D26" s="6" t="inlineStr">
        <is>
          <t>Obtain management representation letter confirming completeness of outstanding list and subsequent realization status</t>
        </is>
      </c>
      <c r="E26" s="6" t="inlineStr"/>
      <c r="F26" s="6" t="inlineStr"/>
      <c r="G26" s="6" t="inlineStr">
        <is>
          <t>Conclusion</t>
        </is>
      </c>
      <c r="H26" s="6" t="inlineStr"/>
      <c r="I26" s="6" t="inlineStr"/>
    </row>
    <row r="27">
      <c r="A27" s="6" t="inlineStr">
        <is>
          <t>14</t>
        </is>
      </c>
      <c r="B27" s="6" t="inlineStr">
        <is>
          <t>Certificate Issuance</t>
        </is>
      </c>
      <c r="C27" s="6" t="inlineStr">
        <is>
          <t>Subsequent Event</t>
        </is>
      </c>
      <c r="D27" s="6" t="inlineStr">
        <is>
          <t>If 100% realized/adjusted, draft certificate wording as required and obtain partner approval</t>
        </is>
      </c>
      <c r="E27" s="6" t="inlineStr"/>
      <c r="F27" s="6" t="inlineStr"/>
      <c r="G27" s="6" t="inlineStr">
        <is>
          <t>Conclusion</t>
        </is>
      </c>
      <c r="H27" s="6" t="inlineStr"/>
      <c r="I27"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45" customWidth="1" min="1" max="1"/>
    <col width="20" customWidth="1" min="2" max="2"/>
    <col width="20" customWidth="1" min="3" max="3"/>
    <col width="20" customWidth="1" min="4" max="4"/>
    <col width="20" customWidth="1" min="5" max="5"/>
    <col width="30" customWidth="1" min="6" max="6"/>
    <col width="20" customWidth="1" min="7" max="7"/>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Lead Schedule - Net Outstanding Premium</t>
        </is>
      </c>
    </row>
    <row r="11">
      <c r="A11" s="4" t="inlineStr">
        <is>
          <t>Purpose: To reconcile Financial Statement amount with GL and Sub-ledger and summarize breakdown</t>
        </is>
      </c>
    </row>
    <row r="13">
      <c r="A13" s="3" t="inlineStr">
        <is>
          <t>Financial Statement Reference: Balance Sheet - Current Assets - Net Outstanding Premium</t>
        </is>
      </c>
    </row>
    <row r="15">
      <c r="A15" s="10" t="inlineStr">
        <is>
          <t>Particulars</t>
        </is>
      </c>
      <c r="B15" s="10" t="inlineStr">
        <is>
          <t>Amount (BDT)</t>
        </is>
      </c>
      <c r="C15" s="10" t="inlineStr">
        <is>
          <t>GL Code</t>
        </is>
      </c>
      <c r="D15" s="10" t="inlineStr">
        <is>
          <t>As per Sub-ledger (BDT)</t>
        </is>
      </c>
      <c r="E15" s="10" t="inlineStr">
        <is>
          <t>Difference (BDT)</t>
        </is>
      </c>
      <c r="F15" s="10" t="inlineStr">
        <is>
          <t>Remarks / WP Ref</t>
        </is>
      </c>
      <c r="G15" s="10" t="inlineStr">
        <is>
          <t>First Year / Renewal</t>
        </is>
      </c>
    </row>
    <row r="16">
      <c r="A16" s="6" t="inlineStr">
        <is>
          <t>Net Outstanding Premium as per FS as at 31 Dec 2025</t>
        </is>
      </c>
      <c r="B16" s="6" t="n">
        <v>1435719236</v>
      </c>
      <c r="C16" s="6" t="inlineStr"/>
      <c r="D16" s="6" t="inlineStr"/>
      <c r="E16" s="6" t="inlineStr"/>
      <c r="F16" s="6" t="inlineStr">
        <is>
          <t>Balance Sheet</t>
        </is>
      </c>
      <c r="G16" s="6" t="inlineStr">
        <is>
          <t>Total</t>
        </is>
      </c>
    </row>
    <row r="17">
      <c r="A17" s="6" t="inlineStr">
        <is>
          <t>Less: Outstanding First Year Premium (as per sub-ledger)</t>
        </is>
      </c>
      <c r="B17" s="6" t="inlineStr"/>
      <c r="C17" s="6" t="inlineStr"/>
      <c r="D17" s="6" t="inlineStr"/>
      <c r="E17" s="6">
        <f>B14-C14</f>
        <v/>
      </c>
      <c r="F17" s="6" t="inlineStr">
        <is>
          <t>Aging sheet</t>
        </is>
      </c>
      <c r="G17" s="6" t="inlineStr">
        <is>
          <t>First Year</t>
        </is>
      </c>
    </row>
    <row r="18">
      <c r="A18" s="6" t="inlineStr">
        <is>
          <t>Less: Outstanding Renewal Premium (as per sub-ledger)</t>
        </is>
      </c>
      <c r="B18" s="6" t="inlineStr"/>
      <c r="C18" s="6" t="inlineStr"/>
      <c r="D18" s="6" t="inlineStr"/>
      <c r="E18" s="6">
        <f>B15-C15</f>
        <v/>
      </c>
      <c r="F18" s="6" t="inlineStr">
        <is>
          <t>Aging sheet</t>
        </is>
      </c>
      <c r="G18" s="6" t="inlineStr">
        <is>
          <t>Renewal</t>
        </is>
      </c>
    </row>
    <row r="19">
      <c r="A19" s="6" t="inlineStr"/>
      <c r="B19" s="6" t="inlineStr"/>
      <c r="C19" s="6" t="inlineStr"/>
      <c r="D19" s="6" t="inlineStr"/>
      <c r="E19" s="6" t="inlineStr"/>
      <c r="F19" s="6" t="inlineStr"/>
      <c r="G19" s="6" t="inlineStr"/>
    </row>
    <row r="20">
      <c r="A20" s="6" t="inlineStr">
        <is>
          <t>Breakup as per Sub-ledger (Policy-wise list)</t>
        </is>
      </c>
      <c r="B20" s="6" t="inlineStr"/>
      <c r="C20" s="6" t="inlineStr"/>
      <c r="D20" s="6" t="n">
        <v>1435719236</v>
      </c>
      <c r="E20" s="6">
        <f>D14-D18</f>
        <v/>
      </c>
      <c r="F20" s="6" t="inlineStr">
        <is>
          <t>PBC List</t>
        </is>
      </c>
      <c r="G20" s="6" t="inlineStr"/>
    </row>
    <row r="21">
      <c r="A21" s="6" t="inlineStr">
        <is>
          <t>First Year Premium Outstanding</t>
        </is>
      </c>
      <c r="B21" s="6" t="n">
        <v>350000000</v>
      </c>
      <c r="C21" s="6" t="inlineStr">
        <is>
          <t>XXXX-FY</t>
        </is>
      </c>
      <c r="D21" s="6" t="inlineStr"/>
      <c r="E21" s="6" t="inlineStr"/>
      <c r="F21" s="6" t="inlineStr">
        <is>
          <t>Aging</t>
        </is>
      </c>
      <c r="G21" s="6" t="inlineStr">
        <is>
          <t>First Year (Example)</t>
        </is>
      </c>
    </row>
    <row r="22">
      <c r="A22" s="6" t="inlineStr">
        <is>
          <t>Renewal Premium Outstanding</t>
        </is>
      </c>
      <c r="B22" s="6" t="n">
        <v>1085719236</v>
      </c>
      <c r="C22" s="6" t="inlineStr">
        <is>
          <t>XXXX-RN</t>
        </is>
      </c>
      <c r="D22" s="6" t="inlineStr"/>
      <c r="E22" s="6" t="inlineStr"/>
      <c r="F22" s="6" t="inlineStr">
        <is>
          <t>Aging</t>
        </is>
      </c>
      <c r="G22" s="6" t="inlineStr">
        <is>
          <t>Renewal (Example)</t>
        </is>
      </c>
    </row>
    <row r="23">
      <c r="A23" s="6" t="inlineStr">
        <is>
          <t>Gross Outstanding Premium</t>
        </is>
      </c>
      <c r="B23" s="6">
        <f>SUM(B15:B16)</f>
        <v/>
      </c>
      <c r="C23" s="6" t="inlineStr"/>
      <c r="D23" s="6">
        <f>SUM(D15:D16)</f>
        <v/>
      </c>
      <c r="E23" s="6" t="inlineStr"/>
      <c r="F23" s="6" t="inlineStr"/>
      <c r="G23" s="6" t="inlineStr"/>
    </row>
    <row r="24">
      <c r="A24" s="6" t="inlineStr">
        <is>
          <t>Less: Provision for doubtful (if any)</t>
        </is>
      </c>
      <c r="B24" s="6" t="n">
        <v>0</v>
      </c>
      <c r="C24" s="6" t="inlineStr"/>
      <c r="D24" s="6" t="n">
        <v>0</v>
      </c>
      <c r="E24" s="6" t="inlineStr"/>
      <c r="F24" s="6" t="inlineStr"/>
      <c r="G24" s="6" t="inlineStr"/>
    </row>
    <row r="25">
      <c r="A25" s="6" t="inlineStr">
        <is>
          <t>Net Outstanding Premium as per Sub-ledger</t>
        </is>
      </c>
      <c r="B25" s="6">
        <f>B17-B18</f>
        <v/>
      </c>
      <c r="C25" s="6" t="inlineStr"/>
      <c r="D25" s="6">
        <f>D17-D18</f>
        <v/>
      </c>
      <c r="E25" s="6">
        <f>B19-D19</f>
        <v/>
      </c>
      <c r="F25" s="6" t="inlineStr"/>
      <c r="G25" s="6" t="inlineStr"/>
    </row>
    <row r="26">
      <c r="A26" s="6" t="inlineStr"/>
      <c r="B26" s="6" t="inlineStr"/>
      <c r="C26" s="6" t="inlineStr"/>
      <c r="D26" s="6" t="inlineStr"/>
      <c r="E26" s="6" t="inlineStr"/>
      <c r="F26" s="6" t="inlineStr"/>
      <c r="G26" s="6" t="inlineStr"/>
    </row>
    <row r="27">
      <c r="A27" s="6" t="inlineStr">
        <is>
          <t>Materiality</t>
        </is>
      </c>
      <c r="B27" s="6" t="inlineStr"/>
      <c r="C27" s="6" t="inlineStr"/>
      <c r="D27" s="6" t="inlineStr"/>
      <c r="E27" s="6" t="inlineStr"/>
      <c r="F27" s="6" t="inlineStr"/>
      <c r="G27" s="6" t="inlineStr"/>
    </row>
    <row r="28">
      <c r="A28" s="6" t="inlineStr">
        <is>
          <t>Overall Materiality (e.g., 1% of Total Assets)</t>
        </is>
      </c>
      <c r="B28" s="6" t="n">
        <v>50000000</v>
      </c>
      <c r="C28" s="6" t="inlineStr"/>
      <c r="D28" s="6" t="inlineStr"/>
      <c r="E28" s="6" t="inlineStr"/>
      <c r="F28" s="6" t="inlineStr"/>
      <c r="G28" s="6" t="inlineStr"/>
    </row>
    <row r="29">
      <c r="A29" s="6" t="inlineStr">
        <is>
          <t>Performance Materiality (75%)</t>
        </is>
      </c>
      <c r="B29" s="6">
        <f>B22*0.75</f>
        <v/>
      </c>
      <c r="C29" s="6" t="inlineStr"/>
      <c r="D29" s="6" t="inlineStr"/>
      <c r="E29" s="6" t="inlineStr"/>
      <c r="F29" s="6" t="inlineStr"/>
      <c r="G29" s="6" t="inlineStr"/>
    </row>
    <row r="30">
      <c r="A30" s="6" t="inlineStr">
        <is>
          <t>Tolerable Error for this area (50% of PM)</t>
        </is>
      </c>
      <c r="B30" s="6">
        <f>B23*0.5</f>
        <v/>
      </c>
      <c r="C30" s="6" t="inlineStr"/>
      <c r="D30" s="6" t="inlineStr"/>
      <c r="E30" s="6" t="inlineStr"/>
      <c r="F30" s="6" t="inlineStr"/>
      <c r="G30" s="6" t="inlineStr"/>
    </row>
    <row r="32">
      <c r="A32" s="3" t="inlineStr">
        <is>
          <t>Reconciliation Status:</t>
        </is>
      </c>
    </row>
    <row r="33">
      <c r="A33" s="11" t="inlineStr">
        <is>
          <t>FS Amount = GL Amount = Sub-ledger Amount ? If not, investigate difference and document in Exceptions sheet.</t>
        </is>
      </c>
    </row>
    <row r="34">
      <c r="A34" t="inlineStr">
        <is>
          <t>Conclusion: FS amount Tk. 1,435,719,236 agreed with sub-ledger and GL / Except for following difference...</t>
        </is>
      </c>
    </row>
  </sheetData>
  <mergeCells count="2">
    <mergeCell ref="A33:F33"/>
    <mergeCell ref="A34:F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GL to Sub-ledger Reconciliation</t>
        </is>
      </c>
    </row>
    <row r="11">
      <c r="A11" s="4" t="inlineStr">
        <is>
          <t>Purpose: To ensure GL balance matches detailed policy-wise outstanding list</t>
        </is>
      </c>
    </row>
    <row r="13">
      <c r="A13" s="9" t="inlineStr">
        <is>
          <t>GL Code</t>
        </is>
      </c>
      <c r="B13" s="9" t="inlineStr">
        <is>
          <t>GL Description</t>
        </is>
      </c>
      <c r="C13" s="9" t="inlineStr">
        <is>
          <t>Balance as per Trial Balance (BDT)</t>
        </is>
      </c>
      <c r="D13" s="9" t="inlineStr">
        <is>
          <t>Balance as per GL Ledger (BDT)</t>
        </is>
      </c>
      <c r="E13" s="9" t="inlineStr">
        <is>
          <t>Balance as per Sub-ledger (BDT)</t>
        </is>
      </c>
      <c r="F13" s="9" t="inlineStr">
        <is>
          <t>Difference TB vs Sub-ledger</t>
        </is>
      </c>
      <c r="G13" s="9" t="inlineStr">
        <is>
          <t>Difference GL vs Sub-ledger</t>
        </is>
      </c>
      <c r="H13" s="9" t="inlineStr">
        <is>
          <t>Remarks</t>
        </is>
      </c>
      <c r="I13" s="9" t="inlineStr">
        <is>
          <t>WP Ref</t>
        </is>
      </c>
    </row>
    <row r="14">
      <c r="A14" s="6" t="inlineStr">
        <is>
          <t>1568000090</t>
        </is>
      </c>
      <c r="B14" s="6" t="inlineStr">
        <is>
          <t>Outstanding Premium - First Year</t>
        </is>
      </c>
      <c r="C14" s="6" t="n">
        <v>350000000</v>
      </c>
      <c r="D14" s="6" t="n">
        <v>350000000</v>
      </c>
      <c r="E14" s="6" t="n">
        <v>350000000</v>
      </c>
      <c r="F14" s="6">
        <f>C14-E14</f>
        <v/>
      </c>
      <c r="G14" s="6">
        <f>D14-E14</f>
        <v/>
      </c>
      <c r="H14" s="6" t="inlineStr">
        <is>
          <t>Agreed</t>
        </is>
      </c>
      <c r="I14" s="6" t="inlineStr">
        <is>
          <t>Aging</t>
        </is>
      </c>
    </row>
    <row r="15">
      <c r="A15" s="6" t="inlineStr">
        <is>
          <t>1568000091</t>
        </is>
      </c>
      <c r="B15" s="6" t="inlineStr">
        <is>
          <t>Outstanding Premium - Renewal</t>
        </is>
      </c>
      <c r="C15" s="6" t="n">
        <v>1085719236</v>
      </c>
      <c r="D15" s="6" t="n">
        <v>1085719236</v>
      </c>
      <c r="E15" s="6" t="n">
        <v>1085719236</v>
      </c>
      <c r="F15" s="6">
        <f>C15-E15</f>
        <v/>
      </c>
      <c r="G15" s="6">
        <f>D15-E15</f>
        <v/>
      </c>
      <c r="H15" s="6" t="inlineStr">
        <is>
          <t>Agreed</t>
        </is>
      </c>
      <c r="I15" s="6" t="inlineStr">
        <is>
          <t>Aging</t>
        </is>
      </c>
    </row>
    <row r="16">
      <c r="A16" s="6" t="inlineStr"/>
      <c r="B16" s="6" t="inlineStr">
        <is>
          <t>Total</t>
        </is>
      </c>
      <c r="C16" s="6">
        <f>SUM(C14:C15)</f>
        <v/>
      </c>
      <c r="D16" s="6">
        <f>SUM(D14:D15)</f>
        <v/>
      </c>
      <c r="E16" s="6">
        <f>SUM(E14:E15)</f>
        <v/>
      </c>
      <c r="F16" s="6">
        <f>C16-E16</f>
        <v/>
      </c>
      <c r="G16" s="6">
        <f>D16-E16</f>
        <v/>
      </c>
      <c r="H16" s="6" t="inlineStr"/>
      <c r="I16"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cols>
    <col width="18" customWidth="1" min="1" max="1"/>
    <col width="15" customWidth="1" min="2" max="2"/>
    <col width="2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Aging Analysis and 90-Day Grace Period Verification</t>
        </is>
      </c>
    </row>
    <row r="11">
      <c r="A11" s="4" t="inlineStr">
        <is>
          <t>Purpose: To verify no outstanding beyond grace period and recalculate grace end date</t>
        </is>
      </c>
    </row>
    <row r="13">
      <c r="A13" s="9" t="inlineStr">
        <is>
          <t>Sl</t>
        </is>
      </c>
      <c r="B13" s="9" t="inlineStr">
        <is>
          <t>Policy No</t>
        </is>
      </c>
      <c r="C13" s="9" t="inlineStr">
        <is>
          <t>Policyholder Name</t>
        </is>
      </c>
      <c r="D13" s="9" t="inlineStr">
        <is>
          <t>Premium Due Date</t>
        </is>
      </c>
      <c r="E13" s="9" t="inlineStr">
        <is>
          <t>Due Amount (BDT)</t>
        </is>
      </c>
      <c r="F13" s="9" t="inlineStr">
        <is>
          <t>Premium Type (FY/RN)</t>
        </is>
      </c>
      <c r="G13" s="9" t="inlineStr">
        <is>
          <t>Product Code</t>
        </is>
      </c>
      <c r="H13" s="9" t="inlineStr">
        <is>
          <t>Mode (M/Q/H/Y)</t>
        </is>
      </c>
      <c r="I13" s="9" t="inlineStr">
        <is>
          <t>Days Overdue as at 31 Dec 2025 (=31Dec-DueDate)</t>
        </is>
      </c>
      <c r="J13" s="9" t="inlineStr">
        <is>
          <t>Grace End Date (=Due+90)</t>
        </is>
      </c>
      <c r="K13" s="9" t="inlineStr">
        <is>
          <t>Aging Bucket</t>
        </is>
      </c>
      <c r="L13" s="9" t="inlineStr">
        <is>
          <t>Policy Status as at 31 Dec (Per System)</t>
        </is>
      </c>
      <c r="M13" s="9" t="inlineStr">
        <is>
          <t>Expected Status</t>
        </is>
      </c>
      <c r="N13" s="9" t="inlineStr">
        <is>
          <t>Cash Value as at Grace End (BDT)</t>
        </is>
      </c>
      <c r="O13" s="9" t="inlineStr">
        <is>
          <t>Exception (Y/N)</t>
        </is>
      </c>
      <c r="P13" s="9" t="inlineStr">
        <is>
          <t>Remarks</t>
        </is>
      </c>
    </row>
    <row r="14">
      <c r="A14" s="6" t="n">
        <v>1</v>
      </c>
      <c r="B14" s="6" t="inlineStr">
        <is>
          <t>POL12345678</t>
        </is>
      </c>
      <c r="C14" s="6" t="inlineStr">
        <is>
          <t>Mr. Rahman</t>
        </is>
      </c>
      <c r="D14" s="12" t="inlineStr">
        <is>
          <t>2025-10-15</t>
        </is>
      </c>
      <c r="E14" s="6" t="n">
        <v>50000</v>
      </c>
      <c r="F14" s="6" t="inlineStr">
        <is>
          <t>RN</t>
        </is>
      </c>
      <c r="G14" s="6" t="inlineStr">
        <is>
          <t>Endowment</t>
        </is>
      </c>
      <c r="H14" s="6" t="inlineStr">
        <is>
          <t>Q</t>
        </is>
      </c>
      <c r="I14" s="6">
        <f>DATE(2025,12,31)-D14</f>
        <v/>
      </c>
      <c r="J14" s="12">
        <f>D14+90</f>
        <v/>
      </c>
      <c r="K14" s="6">
        <f>IF(I14&lt;=30,"0-30",IF(I14&lt;=60,"31-60",IF(I14&lt;=90,"61-90","&gt;90")))</f>
        <v/>
      </c>
      <c r="L14" s="6" t="inlineStr">
        <is>
          <t>In-force (Outstanding)</t>
        </is>
      </c>
      <c r="M14" s="6" t="inlineStr"/>
      <c r="N14" s="6" t="n">
        <v>200000</v>
      </c>
      <c r="O14" s="6" t="inlineStr"/>
      <c r="P14" s="6" t="inlineStr"/>
    </row>
    <row r="15">
      <c r="A15" s="6" t="n">
        <v>2</v>
      </c>
      <c r="B15" s="6" t="inlineStr">
        <is>
          <t>POL87654321</t>
        </is>
      </c>
      <c r="C15" s="6" t="inlineStr">
        <is>
          <t>Ms. Akter</t>
        </is>
      </c>
      <c r="D15" s="12" t="inlineStr">
        <is>
          <t>2025-11-20</t>
        </is>
      </c>
      <c r="E15" s="6" t="n">
        <v>25000</v>
      </c>
      <c r="F15" s="6" t="inlineStr">
        <is>
          <t>FY</t>
        </is>
      </c>
      <c r="G15" s="6" t="inlineStr">
        <is>
          <t>Term</t>
        </is>
      </c>
      <c r="H15" s="6" t="inlineStr">
        <is>
          <t>M</t>
        </is>
      </c>
      <c r="I15" s="6">
        <f>DATE(2025,12,31)-D15</f>
        <v/>
      </c>
      <c r="J15" s="12">
        <f>D15+90</f>
        <v/>
      </c>
      <c r="K15" s="6">
        <f>IF(I15&lt;=30,"0-30",IF(I15&lt;=60,"31-60",IF(I15&lt;=90,"61-90","&gt;90")))</f>
        <v/>
      </c>
      <c r="L15" s="6" t="inlineStr">
        <is>
          <t>In-force (Outstanding)</t>
        </is>
      </c>
      <c r="M15" s="6" t="inlineStr"/>
      <c r="N15" s="6" t="n">
        <v>0</v>
      </c>
      <c r="O15" s="6" t="inlineStr"/>
      <c r="P15" s="6" t="inlineStr"/>
    </row>
    <row r="16">
      <c r="A16" s="6" t="n">
        <v>3</v>
      </c>
      <c r="B16" s="6" t="inlineStr">
        <is>
          <t>POL11223344</t>
        </is>
      </c>
      <c r="C16" s="6" t="inlineStr">
        <is>
          <t>Mr. Hossain</t>
        </is>
      </c>
      <c r="D16" s="12" t="inlineStr">
        <is>
          <t>2025-12-10</t>
        </is>
      </c>
      <c r="E16" s="6" t="n">
        <v>100000</v>
      </c>
      <c r="F16" s="6" t="inlineStr">
        <is>
          <t>RN</t>
        </is>
      </c>
      <c r="G16" s="6" t="inlineStr">
        <is>
          <t>Whole Life</t>
        </is>
      </c>
      <c r="H16" s="6" t="inlineStr">
        <is>
          <t>Y</t>
        </is>
      </c>
      <c r="I16" s="6">
        <f>DATE(2025,12,31)-D16</f>
        <v/>
      </c>
      <c r="J16" s="12">
        <f>D16+90</f>
        <v/>
      </c>
      <c r="K16" s="6">
        <f>IF(I16&lt;=30,"0-30",IF(I16&lt;=60,"31-60",IF(I16&lt;=90,"61-90","&gt;90")))</f>
        <v/>
      </c>
      <c r="L16" s="6" t="inlineStr">
        <is>
          <t>In-force (Outstanding)</t>
        </is>
      </c>
      <c r="M16" s="6" t="inlineStr"/>
      <c r="N16" s="6" t="n">
        <v>500000</v>
      </c>
      <c r="O16" s="6" t="inlineStr"/>
      <c r="P16" s="6" t="inlineStr"/>
    </row>
    <row r="17">
      <c r="A17" s="6" t="n">
        <v>4</v>
      </c>
      <c r="B17" s="6" t="n"/>
      <c r="C17" s="6" t="n"/>
      <c r="D17" s="6" t="n"/>
      <c r="E17" s="6" t="n"/>
      <c r="F17" s="6" t="n"/>
      <c r="G17" s="6" t="n"/>
      <c r="H17" s="6" t="n"/>
      <c r="I17" s="6">
        <f>IF(D17="","",DATE(2025,12,31)-D17)</f>
        <v/>
      </c>
      <c r="J17" s="6">
        <f>IF(D17="","",D17+90)</f>
        <v/>
      </c>
      <c r="K17" s="6">
        <f>IF(I17="","",IF(I17&lt;=30,"0-30",IF(I17&lt;=60,"31-60",IF(I17&lt;=90,"61-90","&gt;90")))</f>
        <v/>
      </c>
      <c r="L17" s="6" t="n"/>
      <c r="M17" s="6" t="n"/>
      <c r="N17" s="6" t="n"/>
      <c r="O17" s="6" t="n"/>
      <c r="P17" s="6" t="n"/>
    </row>
    <row r="18">
      <c r="A18" s="6" t="n">
        <v>5</v>
      </c>
      <c r="B18" s="6" t="n"/>
      <c r="C18" s="6" t="n"/>
      <c r="D18" s="6" t="n"/>
      <c r="E18" s="6" t="n"/>
      <c r="F18" s="6" t="n"/>
      <c r="G18" s="6" t="n"/>
      <c r="H18" s="6" t="n"/>
      <c r="I18" s="6">
        <f>IF(D18="","",DATE(2025,12,31)-D18)</f>
        <v/>
      </c>
      <c r="J18" s="6">
        <f>IF(D18="","",D18+90)</f>
        <v/>
      </c>
      <c r="K18" s="6">
        <f>IF(I18="","",IF(I18&lt;=30,"0-30",IF(I18&lt;=60,"31-60",IF(I18&lt;=90,"61-90","&gt;90")))</f>
        <v/>
      </c>
      <c r="L18" s="6" t="n"/>
      <c r="M18" s="6" t="n"/>
      <c r="N18" s="6" t="n"/>
      <c r="O18" s="6" t="n"/>
      <c r="P18" s="6" t="n"/>
    </row>
    <row r="19">
      <c r="A19" s="6" t="n">
        <v>6</v>
      </c>
      <c r="B19" s="6" t="n"/>
      <c r="C19" s="6" t="n"/>
      <c r="D19" s="6" t="n"/>
      <c r="E19" s="6" t="n"/>
      <c r="F19" s="6" t="n"/>
      <c r="G19" s="6" t="n"/>
      <c r="H19" s="6" t="n"/>
      <c r="I19" s="6">
        <f>IF(D19="","",DATE(2025,12,31)-D19)</f>
        <v/>
      </c>
      <c r="J19" s="6">
        <f>IF(D19="","",D19+90)</f>
        <v/>
      </c>
      <c r="K19" s="6">
        <f>IF(I19="","",IF(I19&lt;=30,"0-30",IF(I19&lt;=60,"31-60",IF(I19&lt;=90,"61-90","&gt;90")))</f>
        <v/>
      </c>
      <c r="L19" s="6" t="n"/>
      <c r="M19" s="6" t="n"/>
      <c r="N19" s="6" t="n"/>
      <c r="O19" s="6" t="n"/>
      <c r="P19" s="6" t="n"/>
    </row>
    <row r="20">
      <c r="A20" s="6" t="n">
        <v>7</v>
      </c>
      <c r="B20" s="6" t="n"/>
      <c r="C20" s="6" t="n"/>
      <c r="D20" s="6" t="n"/>
      <c r="E20" s="6" t="n"/>
      <c r="F20" s="6" t="n"/>
      <c r="G20" s="6" t="n"/>
      <c r="H20" s="6" t="n"/>
      <c r="I20" s="6">
        <f>IF(D20="","",DATE(2025,12,31)-D20)</f>
        <v/>
      </c>
      <c r="J20" s="6">
        <f>IF(D20="","",D20+90)</f>
        <v/>
      </c>
      <c r="K20" s="6">
        <f>IF(I20="","",IF(I20&lt;=30,"0-30",IF(I20&lt;=60,"31-60",IF(I20&lt;=90,"61-90","&gt;90")))</f>
        <v/>
      </c>
      <c r="L20" s="6" t="n"/>
      <c r="M20" s="6" t="n"/>
      <c r="N20" s="6" t="n"/>
      <c r="O20" s="6" t="n"/>
      <c r="P20" s="6" t="n"/>
    </row>
    <row r="21">
      <c r="A21" s="6" t="n">
        <v>8</v>
      </c>
      <c r="B21" s="6" t="n"/>
      <c r="C21" s="6" t="n"/>
      <c r="D21" s="6" t="n"/>
      <c r="E21" s="6" t="n"/>
      <c r="F21" s="6" t="n"/>
      <c r="G21" s="6" t="n"/>
      <c r="H21" s="6" t="n"/>
      <c r="I21" s="6">
        <f>IF(D21="","",DATE(2025,12,31)-D21)</f>
        <v/>
      </c>
      <c r="J21" s="6">
        <f>IF(D21="","",D21+90)</f>
        <v/>
      </c>
      <c r="K21" s="6">
        <f>IF(I21="","",IF(I21&lt;=30,"0-30",IF(I21&lt;=60,"31-60",IF(I21&lt;=90,"61-90","&gt;90")))</f>
        <v/>
      </c>
      <c r="L21" s="6" t="n"/>
      <c r="M21" s="6" t="n"/>
      <c r="N21" s="6" t="n"/>
      <c r="O21" s="6" t="n"/>
      <c r="P21" s="6" t="n"/>
    </row>
    <row r="22">
      <c r="A22" s="6" t="n">
        <v>9</v>
      </c>
      <c r="B22" s="6" t="n"/>
      <c r="C22" s="6" t="n"/>
      <c r="D22" s="6" t="n"/>
      <c r="E22" s="6" t="n"/>
      <c r="F22" s="6" t="n"/>
      <c r="G22" s="6" t="n"/>
      <c r="H22" s="6" t="n"/>
      <c r="I22" s="6">
        <f>IF(D22="","",DATE(2025,12,31)-D22)</f>
        <v/>
      </c>
      <c r="J22" s="6">
        <f>IF(D22="","",D22+90)</f>
        <v/>
      </c>
      <c r="K22" s="6">
        <f>IF(I22="","",IF(I22&lt;=30,"0-30",IF(I22&lt;=60,"31-60",IF(I22&lt;=90,"61-90","&gt;90")))</f>
        <v/>
      </c>
      <c r="L22" s="6" t="n"/>
      <c r="M22" s="6" t="n"/>
      <c r="N22" s="6" t="n"/>
      <c r="O22" s="6" t="n"/>
      <c r="P22" s="6" t="n"/>
    </row>
    <row r="23">
      <c r="A23" s="6" t="n">
        <v>10</v>
      </c>
      <c r="B23" s="6" t="n"/>
      <c r="C23" s="6" t="n"/>
      <c r="D23" s="6" t="n"/>
      <c r="E23" s="6" t="n"/>
      <c r="F23" s="6" t="n"/>
      <c r="G23" s="6" t="n"/>
      <c r="H23" s="6" t="n"/>
      <c r="I23" s="6">
        <f>IF(D23="","",DATE(2025,12,31)-D23)</f>
        <v/>
      </c>
      <c r="J23" s="6">
        <f>IF(D23="","",D23+90)</f>
        <v/>
      </c>
      <c r="K23" s="6">
        <f>IF(I23="","",IF(I23&lt;=30,"0-30",IF(I23&lt;=60,"31-60",IF(I23&lt;=90,"61-90","&gt;90")))</f>
        <v/>
      </c>
      <c r="L23" s="6" t="n"/>
      <c r="M23" s="6" t="n"/>
      <c r="N23" s="6" t="n"/>
      <c r="O23" s="6" t="n"/>
      <c r="P23" s="6" t="n"/>
    </row>
    <row r="24">
      <c r="A24" s="6" t="n">
        <v>11</v>
      </c>
      <c r="B24" s="6" t="n"/>
      <c r="C24" s="6" t="n"/>
      <c r="D24" s="6" t="n"/>
      <c r="E24" s="6" t="n"/>
      <c r="F24" s="6" t="n"/>
      <c r="G24" s="6" t="n"/>
      <c r="H24" s="6" t="n"/>
      <c r="I24" s="6">
        <f>IF(D24="","",DATE(2025,12,31)-D24)</f>
        <v/>
      </c>
      <c r="J24" s="6">
        <f>IF(D24="","",D24+90)</f>
        <v/>
      </c>
      <c r="K24" s="6">
        <f>IF(I24="","",IF(I24&lt;=30,"0-30",IF(I24&lt;=60,"31-60",IF(I24&lt;=90,"61-90","&gt;90")))</f>
        <v/>
      </c>
      <c r="L24" s="6" t="n"/>
      <c r="M24" s="6" t="n"/>
      <c r="N24" s="6" t="n"/>
      <c r="O24" s="6" t="n"/>
      <c r="P24" s="6" t="n"/>
    </row>
    <row r="25">
      <c r="A25" s="6" t="n">
        <v>12</v>
      </c>
      <c r="B25" s="6" t="n"/>
      <c r="C25" s="6" t="n"/>
      <c r="D25" s="6" t="n"/>
      <c r="E25" s="6" t="n"/>
      <c r="F25" s="6" t="n"/>
      <c r="G25" s="6" t="n"/>
      <c r="H25" s="6" t="n"/>
      <c r="I25" s="6">
        <f>IF(D25="","",DATE(2025,12,31)-D25)</f>
        <v/>
      </c>
      <c r="J25" s="6">
        <f>IF(D25="","",D25+90)</f>
        <v/>
      </c>
      <c r="K25" s="6">
        <f>IF(I25="","",IF(I25&lt;=30,"0-30",IF(I25&lt;=60,"31-60",IF(I25&lt;=90,"61-90","&gt;90")))</f>
        <v/>
      </c>
      <c r="L25" s="6" t="n"/>
      <c r="M25" s="6" t="n"/>
      <c r="N25" s="6" t="n"/>
      <c r="O25" s="6" t="n"/>
      <c r="P25" s="6" t="n"/>
    </row>
    <row r="26">
      <c r="A26" s="6" t="n">
        <v>13</v>
      </c>
      <c r="B26" s="6" t="n"/>
      <c r="C26" s="6" t="n"/>
      <c r="D26" s="6" t="n"/>
      <c r="E26" s="6" t="n"/>
      <c r="F26" s="6" t="n"/>
      <c r="G26" s="6" t="n"/>
      <c r="H26" s="6" t="n"/>
      <c r="I26" s="6">
        <f>IF(D26="","",DATE(2025,12,31)-D26)</f>
        <v/>
      </c>
      <c r="J26" s="6">
        <f>IF(D26="","",D26+90)</f>
        <v/>
      </c>
      <c r="K26" s="6">
        <f>IF(I26="","",IF(I26&lt;=30,"0-30",IF(I26&lt;=60,"31-60",IF(I26&lt;=90,"61-90","&gt;90")))</f>
        <v/>
      </c>
      <c r="L26" s="6" t="n"/>
      <c r="M26" s="6" t="n"/>
      <c r="N26" s="6" t="n"/>
      <c r="O26" s="6" t="n"/>
      <c r="P26" s="6" t="n"/>
    </row>
    <row r="27">
      <c r="A27" s="6" t="n">
        <v>14</v>
      </c>
      <c r="B27" s="6" t="n"/>
      <c r="C27" s="6" t="n"/>
      <c r="D27" s="6" t="n"/>
      <c r="E27" s="6" t="n"/>
      <c r="F27" s="6" t="n"/>
      <c r="G27" s="6" t="n"/>
      <c r="H27" s="6" t="n"/>
      <c r="I27" s="6">
        <f>IF(D27="","",DATE(2025,12,31)-D27)</f>
        <v/>
      </c>
      <c r="J27" s="6">
        <f>IF(D27="","",D27+90)</f>
        <v/>
      </c>
      <c r="K27" s="6">
        <f>IF(I27="","",IF(I27&lt;=30,"0-30",IF(I27&lt;=60,"31-60",IF(I27&lt;=90,"61-90","&gt;90")))</f>
        <v/>
      </c>
      <c r="L27" s="6" t="n"/>
      <c r="M27" s="6" t="n"/>
      <c r="N27" s="6" t="n"/>
      <c r="O27" s="6" t="n"/>
      <c r="P27" s="6" t="n"/>
    </row>
    <row r="28">
      <c r="A28" s="6" t="n">
        <v>15</v>
      </c>
      <c r="B28" s="6" t="n"/>
      <c r="C28" s="6" t="n"/>
      <c r="D28" s="6" t="n"/>
      <c r="E28" s="6" t="n"/>
      <c r="F28" s="6" t="n"/>
      <c r="G28" s="6" t="n"/>
      <c r="H28" s="6" t="n"/>
      <c r="I28" s="6">
        <f>IF(D28="","",DATE(2025,12,31)-D28)</f>
        <v/>
      </c>
      <c r="J28" s="6">
        <f>IF(D28="","",D28+90)</f>
        <v/>
      </c>
      <c r="K28" s="6">
        <f>IF(I28="","",IF(I28&lt;=30,"0-30",IF(I28&lt;=60,"31-60",IF(I28&lt;=90,"61-90","&gt;90")))</f>
        <v/>
      </c>
      <c r="L28" s="6" t="n"/>
      <c r="M28" s="6" t="n"/>
      <c r="N28" s="6" t="n"/>
      <c r="O28" s="6" t="n"/>
      <c r="P28" s="6" t="n"/>
    </row>
    <row r="29">
      <c r="A29" s="6" t="n">
        <v>16</v>
      </c>
      <c r="B29" s="6" t="n"/>
      <c r="C29" s="6" t="n"/>
      <c r="D29" s="6" t="n"/>
      <c r="E29" s="6" t="n"/>
      <c r="F29" s="6" t="n"/>
      <c r="G29" s="6" t="n"/>
      <c r="H29" s="6" t="n"/>
      <c r="I29" s="6">
        <f>IF(D29="","",DATE(2025,12,31)-D29)</f>
        <v/>
      </c>
      <c r="J29" s="6">
        <f>IF(D29="","",D29+90)</f>
        <v/>
      </c>
      <c r="K29" s="6">
        <f>IF(I29="","",IF(I29&lt;=30,"0-30",IF(I29&lt;=60,"31-60",IF(I29&lt;=90,"61-90","&gt;90")))</f>
        <v/>
      </c>
      <c r="L29" s="6" t="n"/>
      <c r="M29" s="6" t="n"/>
      <c r="N29" s="6" t="n"/>
      <c r="O29" s="6" t="n"/>
      <c r="P29" s="6" t="n"/>
    </row>
    <row r="30">
      <c r="A30" s="6" t="n">
        <v>17</v>
      </c>
      <c r="B30" s="6" t="n"/>
      <c r="C30" s="6" t="n"/>
      <c r="D30" s="6" t="n"/>
      <c r="E30" s="6" t="n"/>
      <c r="F30" s="6" t="n"/>
      <c r="G30" s="6" t="n"/>
      <c r="H30" s="6" t="n"/>
      <c r="I30" s="6">
        <f>IF(D30="","",DATE(2025,12,31)-D30)</f>
        <v/>
      </c>
      <c r="J30" s="6">
        <f>IF(D30="","",D30+90)</f>
        <v/>
      </c>
      <c r="K30" s="6">
        <f>IF(I30="","",IF(I30&lt;=30,"0-30",IF(I30&lt;=60,"31-60",IF(I30&lt;=90,"61-90","&gt;90")))</f>
        <v/>
      </c>
      <c r="L30" s="6" t="n"/>
      <c r="M30" s="6" t="n"/>
      <c r="N30" s="6" t="n"/>
      <c r="O30" s="6" t="n"/>
      <c r="P30" s="6" t="n"/>
    </row>
    <row r="31">
      <c r="A31" s="6" t="n">
        <v>18</v>
      </c>
      <c r="B31" s="6" t="n"/>
      <c r="C31" s="6" t="n"/>
      <c r="D31" s="6" t="n"/>
      <c r="E31" s="6" t="n"/>
      <c r="F31" s="6" t="n"/>
      <c r="G31" s="6" t="n"/>
      <c r="H31" s="6" t="n"/>
      <c r="I31" s="6">
        <f>IF(D31="","",DATE(2025,12,31)-D31)</f>
        <v/>
      </c>
      <c r="J31" s="6">
        <f>IF(D31="","",D31+90)</f>
        <v/>
      </c>
      <c r="K31" s="6">
        <f>IF(I31="","",IF(I31&lt;=30,"0-30",IF(I31&lt;=60,"31-60",IF(I31&lt;=90,"61-90","&gt;90")))</f>
        <v/>
      </c>
      <c r="L31" s="6" t="n"/>
      <c r="M31" s="6" t="n"/>
      <c r="N31" s="6" t="n"/>
      <c r="O31" s="6" t="n"/>
      <c r="P31" s="6" t="n"/>
    </row>
    <row r="32">
      <c r="A32" s="6" t="n">
        <v>19</v>
      </c>
      <c r="B32" s="6" t="n"/>
      <c r="C32" s="6" t="n"/>
      <c r="D32" s="6" t="n"/>
      <c r="E32" s="6" t="n"/>
      <c r="F32" s="6" t="n"/>
      <c r="G32" s="6" t="n"/>
      <c r="H32" s="6" t="n"/>
      <c r="I32" s="6">
        <f>IF(D32="","",DATE(2025,12,31)-D32)</f>
        <v/>
      </c>
      <c r="J32" s="6">
        <f>IF(D32="","",D32+90)</f>
        <v/>
      </c>
      <c r="K32" s="6">
        <f>IF(I32="","",IF(I32&lt;=30,"0-30",IF(I32&lt;=60,"31-60",IF(I32&lt;=90,"61-90","&gt;90")))</f>
        <v/>
      </c>
      <c r="L32" s="6" t="n"/>
      <c r="M32" s="6" t="n"/>
      <c r="N32" s="6" t="n"/>
      <c r="O32" s="6" t="n"/>
      <c r="P32" s="6" t="n"/>
    </row>
    <row r="33">
      <c r="A33" s="6" t="n">
        <v>20</v>
      </c>
      <c r="B33" s="6" t="n"/>
      <c r="C33" s="6" t="n"/>
      <c r="D33" s="6" t="n"/>
      <c r="E33" s="6" t="n"/>
      <c r="F33" s="6" t="n"/>
      <c r="G33" s="6" t="n"/>
      <c r="H33" s="6" t="n"/>
      <c r="I33" s="6">
        <f>IF(D33="","",DATE(2025,12,31)-D33)</f>
        <v/>
      </c>
      <c r="J33" s="6">
        <f>IF(D33="","",D33+90)</f>
        <v/>
      </c>
      <c r="K33" s="6">
        <f>IF(I33="","",IF(I33&lt;=30,"0-30",IF(I33&lt;=60,"31-60",IF(I33&lt;=90,"61-90","&gt;90")))</f>
        <v/>
      </c>
      <c r="L33" s="6" t="n"/>
      <c r="M33" s="6" t="n"/>
      <c r="N33" s="6" t="n"/>
      <c r="O33" s="6" t="n"/>
      <c r="P33" s="6" t="n"/>
    </row>
    <row r="34">
      <c r="A34" s="6" t="n">
        <v>21</v>
      </c>
      <c r="B34" s="6" t="n"/>
      <c r="C34" s="6" t="n"/>
      <c r="D34" s="6" t="n"/>
      <c r="E34" s="6" t="n"/>
      <c r="F34" s="6" t="n"/>
      <c r="G34" s="6" t="n"/>
      <c r="H34" s="6" t="n"/>
      <c r="I34" s="6">
        <f>IF(D34="","",DATE(2025,12,31)-D34)</f>
        <v/>
      </c>
      <c r="J34" s="6">
        <f>IF(D34="","",D34+90)</f>
        <v/>
      </c>
      <c r="K34" s="6">
        <f>IF(I34="","",IF(I34&lt;=30,"0-30",IF(I34&lt;=60,"31-60",IF(I34&lt;=90,"61-90","&gt;90")))</f>
        <v/>
      </c>
      <c r="L34" s="6" t="n"/>
      <c r="M34" s="6" t="n"/>
      <c r="N34" s="6" t="n"/>
      <c r="O34" s="6" t="n"/>
      <c r="P34" s="6" t="n"/>
    </row>
    <row r="35">
      <c r="A35" s="6" t="n">
        <v>22</v>
      </c>
      <c r="B35" s="6" t="n"/>
      <c r="C35" s="6" t="n"/>
      <c r="D35" s="6" t="n"/>
      <c r="E35" s="6" t="n"/>
      <c r="F35" s="6" t="n"/>
      <c r="G35" s="6" t="n"/>
      <c r="H35" s="6" t="n"/>
      <c r="I35" s="6">
        <f>IF(D35="","",DATE(2025,12,31)-D35)</f>
        <v/>
      </c>
      <c r="J35" s="6">
        <f>IF(D35="","",D35+90)</f>
        <v/>
      </c>
      <c r="K35" s="6">
        <f>IF(I35="","",IF(I35&lt;=30,"0-30",IF(I35&lt;=60,"31-60",IF(I35&lt;=90,"61-90","&gt;90")))</f>
        <v/>
      </c>
      <c r="L35" s="6" t="n"/>
      <c r="M35" s="6" t="n"/>
      <c r="N35" s="6" t="n"/>
      <c r="O35" s="6" t="n"/>
      <c r="P35" s="6" t="n"/>
    </row>
    <row r="36">
      <c r="A36" s="6" t="n">
        <v>23</v>
      </c>
      <c r="B36" s="6" t="n"/>
      <c r="C36" s="6" t="n"/>
      <c r="D36" s="6" t="n"/>
      <c r="E36" s="6" t="n"/>
      <c r="F36" s="6" t="n"/>
      <c r="G36" s="6" t="n"/>
      <c r="H36" s="6" t="n"/>
      <c r="I36" s="6">
        <f>IF(D36="","",DATE(2025,12,31)-D36)</f>
        <v/>
      </c>
      <c r="J36" s="6">
        <f>IF(D36="","",D36+90)</f>
        <v/>
      </c>
      <c r="K36" s="6">
        <f>IF(I36="","",IF(I36&lt;=30,"0-30",IF(I36&lt;=60,"31-60",IF(I36&lt;=90,"61-90","&gt;90")))</f>
        <v/>
      </c>
      <c r="L36" s="6" t="n"/>
      <c r="M36" s="6" t="n"/>
      <c r="N36" s="6" t="n"/>
      <c r="O36" s="6" t="n"/>
      <c r="P36" s="6" t="n"/>
    </row>
    <row r="38">
      <c r="A38" s="7" t="inlineStr">
        <is>
          <t>Aging Summary (Pivot)</t>
        </is>
      </c>
    </row>
    <row r="39">
      <c r="A39" s="10" t="inlineStr">
        <is>
          <t>Aging Bucket</t>
        </is>
      </c>
      <c r="B39" s="10" t="inlineStr">
        <is>
          <t>Count of Policies</t>
        </is>
      </c>
      <c r="C39" s="10" t="inlineStr">
        <is>
          <t>Total Amount (BDT)</t>
        </is>
      </c>
      <c r="D39" s="10" t="inlineStr">
        <is>
          <t>First Year Amount</t>
        </is>
      </c>
      <c r="E39" s="10" t="inlineStr">
        <is>
          <t>Renewal Amount</t>
        </is>
      </c>
      <c r="F39" s="10" t="inlineStr">
        <is>
          <t>Exception Count (&gt;90 days)</t>
        </is>
      </c>
    </row>
    <row r="40">
      <c r="A40" s="6" t="inlineStr">
        <is>
          <t>0-30</t>
        </is>
      </c>
      <c r="B40" s="6">
        <f>COUNTIF(K14:K36,A40)</f>
        <v/>
      </c>
      <c r="C40" s="6">
        <f>SUMIF(K14:K36,A40,E14:E36)</f>
        <v/>
      </c>
      <c r="D40" s="6" t="n"/>
      <c r="E40" s="6" t="n"/>
      <c r="F40" s="6" t="n"/>
    </row>
    <row r="41">
      <c r="A41" s="6" t="inlineStr">
        <is>
          <t>31-60</t>
        </is>
      </c>
      <c r="B41" s="6">
        <f>COUNTIF(K14:K36,A41)</f>
        <v/>
      </c>
      <c r="C41" s="6">
        <f>SUMIF(K14:K36,A41,E14:E36)</f>
        <v/>
      </c>
      <c r="D41" s="6" t="n"/>
      <c r="E41" s="6" t="n"/>
      <c r="F41" s="6" t="n"/>
    </row>
    <row r="42">
      <c r="A42" s="6" t="inlineStr">
        <is>
          <t>61-90</t>
        </is>
      </c>
      <c r="B42" s="6">
        <f>COUNTIF(K14:K36,A42)</f>
        <v/>
      </c>
      <c r="C42" s="6">
        <f>SUMIF(K14:K36,A42,E14:E36)</f>
        <v/>
      </c>
      <c r="D42" s="6" t="n"/>
      <c r="E42" s="6" t="n"/>
      <c r="F42" s="6" t="n"/>
    </row>
    <row r="43">
      <c r="A43" s="6" t="inlineStr">
        <is>
          <t>&gt;90</t>
        </is>
      </c>
      <c r="B43" s="6">
        <f>COUNTIF(K14:K36,A43)</f>
        <v/>
      </c>
      <c r="C43" s="6">
        <f>SUMIF(K14:K36,A43,E14:E36)</f>
        <v/>
      </c>
      <c r="D43" s="6" t="n"/>
      <c r="E43" s="6" t="n"/>
      <c r="F43" s="6" t="n"/>
    </row>
    <row r="44">
      <c r="A44" s="6" t="inlineStr">
        <is>
          <t>Total</t>
        </is>
      </c>
      <c r="B44" s="6">
        <f>SUM(B40:B43)</f>
        <v/>
      </c>
      <c r="C44" s="6">
        <f>SUM(C40:C43)</f>
        <v/>
      </c>
      <c r="D44" s="6" t="n"/>
      <c r="E44" s="6" t="n"/>
      <c r="F44"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20"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MUS Sampling Plan and Sample Selection</t>
        </is>
      </c>
    </row>
    <row r="11">
      <c r="A11" s="4" t="inlineStr">
        <is>
          <t>Purpose: To document MUS methodology and selection of 5 samples for detailed testing</t>
        </is>
      </c>
    </row>
    <row r="13">
      <c r="A13" s="7" t="inlineStr">
        <is>
          <t>A. MUS Parameters</t>
        </is>
      </c>
    </row>
    <row r="14">
      <c r="A14" s="6" t="inlineStr">
        <is>
          <t>Population Value (Total Outstanding as at 31 Dec 2025)</t>
        </is>
      </c>
      <c r="B14" s="6" t="n">
        <v>1435719236</v>
      </c>
      <c r="C14" s="6" t="inlineStr">
        <is>
          <t>As per Lead Sheet</t>
        </is>
      </c>
      <c r="D14" s="6" t="inlineStr"/>
    </row>
    <row r="15">
      <c r="A15" s="6" t="inlineStr">
        <is>
          <t>Tolerable Misstatement (TM)</t>
        </is>
      </c>
      <c r="B15" s="6" t="n">
        <v>18750000</v>
      </c>
      <c r="C15" s="6">
        <f> Lead!B24 (50% of PM) - Example</f>
        <v/>
      </c>
      <c r="D15" s="6" t="inlineStr"/>
    </row>
    <row r="16">
      <c r="A16" s="6" t="inlineStr">
        <is>
          <t>Expected Misstatement (EM)</t>
        </is>
      </c>
      <c r="B16" s="6" t="n">
        <v>0</v>
      </c>
      <c r="C16" s="6" t="inlineStr">
        <is>
          <t>Assumed 0 for first time</t>
        </is>
      </c>
      <c r="D16" s="6" t="inlineStr"/>
    </row>
    <row r="17">
      <c r="A17" s="6" t="inlineStr">
        <is>
          <t>Confidence Factor / Risk Factor</t>
        </is>
      </c>
      <c r="B17" s="6" t="n">
        <v>3</v>
      </c>
      <c r="C17" s="6" t="inlineStr">
        <is>
          <t>For 95% confidence (High assurance)</t>
        </is>
      </c>
      <c r="D17" s="6" t="inlineStr"/>
    </row>
    <row r="18">
      <c r="A18" s="6" t="inlineStr">
        <is>
          <t>Sampling Interval = TM / Risk Factor</t>
        </is>
      </c>
      <c r="B18" s="6">
        <f>B14/B16</f>
        <v/>
      </c>
      <c r="C18" s="6" t="inlineStr">
        <is>
          <t>Calculation</t>
        </is>
      </c>
      <c r="D18" s="6" t="inlineStr"/>
    </row>
    <row r="19">
      <c r="A19" s="6" t="inlineStr">
        <is>
          <t>Number of Samples = Population / Interval</t>
        </is>
      </c>
      <c r="B19" s="6">
        <f>B13/B17</f>
        <v/>
      </c>
      <c r="C19" s="6" t="inlineStr">
        <is>
          <t>Rounded up</t>
        </is>
      </c>
      <c r="D19" s="6" t="inlineStr"/>
    </row>
    <row r="20">
      <c r="A20" s="6" t="inlineStr">
        <is>
          <t>Actual Samples Selected</t>
        </is>
      </c>
      <c r="B20" s="6" t="n">
        <v>5</v>
      </c>
      <c r="C20" s="6" t="inlineStr">
        <is>
          <t>As per engagement team decision (MUS + judgmental for certificate)</t>
        </is>
      </c>
      <c r="D20" s="6" t="inlineStr"/>
    </row>
    <row r="21">
      <c r="A21" s="6" t="inlineStr">
        <is>
          <t>Sampling Method</t>
        </is>
      </c>
      <c r="B21" s="6" t="inlineStr">
        <is>
          <t>MUS - Every Interval selection + Random start</t>
        </is>
      </c>
      <c r="C21" s="6" t="inlineStr"/>
      <c r="D21" s="6" t="inlineStr"/>
    </row>
    <row r="23">
      <c r="A23" s="13" t="inlineStr">
        <is>
          <t>B. Sample Selection Log (MUS)</t>
        </is>
      </c>
      <c r="B23" s="6" t="n"/>
      <c r="C23" s="6" t="n"/>
      <c r="D23" s="6" t="n"/>
      <c r="E23" s="6" t="n"/>
      <c r="F23" s="6" t="n"/>
      <c r="G23" s="6" t="n"/>
      <c r="H23" s="6" t="n"/>
      <c r="I23" s="6" t="n"/>
      <c r="J23" s="6" t="n"/>
      <c r="K23" s="6" t="n"/>
    </row>
    <row r="24">
      <c r="A24" s="10" t="inlineStr">
        <is>
          <t>Sample No</t>
        </is>
      </c>
      <c r="B24" s="10" t="inlineStr">
        <is>
          <t>Random Start / Interval Point</t>
        </is>
      </c>
      <c r="C24" s="10" t="inlineStr">
        <is>
          <t>Cumulative Amount Point</t>
        </is>
      </c>
      <c r="D24" s="10" t="inlineStr">
        <is>
          <t>Policy No Selected</t>
        </is>
      </c>
      <c r="E24" s="10" t="inlineStr">
        <is>
          <t>Policyholder Name</t>
        </is>
      </c>
      <c r="F24" s="10" t="inlineStr">
        <is>
          <t>Premium Due Date</t>
        </is>
      </c>
      <c r="G24" s="10" t="inlineStr">
        <is>
          <t>Due Amount (BDT)</t>
        </is>
      </c>
      <c r="H24" s="10" t="inlineStr">
        <is>
          <t>Type FY/RN</t>
        </is>
      </c>
      <c r="I24" s="10" t="inlineStr">
        <is>
          <t>Reason for Selection (MUS/Judgmental/High Value)</t>
        </is>
      </c>
      <c r="J24" s="10" t="inlineStr">
        <is>
          <t>Population Running Total (BDT)</t>
        </is>
      </c>
      <c r="K24" s="10" t="inlineStr">
        <is>
          <t>Remarks</t>
        </is>
      </c>
    </row>
    <row r="25">
      <c r="A25" s="6" t="n">
        <v>1</v>
      </c>
      <c r="B25" s="6" t="n">
        <v>1000000</v>
      </c>
      <c r="C25" s="6" t="n">
        <v>1000000</v>
      </c>
      <c r="D25" s="6" t="inlineStr">
        <is>
          <t>POL12345678</t>
        </is>
      </c>
      <c r="E25" s="6" t="inlineStr">
        <is>
          <t>Mr. Rahman</t>
        </is>
      </c>
      <c r="F25" s="6" t="inlineStr">
        <is>
          <t>2025-10-15</t>
        </is>
      </c>
      <c r="G25" s="6" t="n">
        <v>50000</v>
      </c>
      <c r="H25" s="6" t="inlineStr">
        <is>
          <t>RN</t>
        </is>
      </c>
      <c r="I25" s="6" t="inlineStr">
        <is>
          <t>MUS - Interval 1</t>
        </is>
      </c>
      <c r="J25" s="6" t="inlineStr"/>
      <c r="K25" s="6" t="inlineStr">
        <is>
          <t>High value</t>
        </is>
      </c>
    </row>
    <row r="26">
      <c r="A26" s="6" t="n">
        <v>2</v>
      </c>
      <c r="B26" s="6" t="n">
        <v>300000000</v>
      </c>
      <c r="C26" s="6" t="n">
        <v>300000000</v>
      </c>
      <c r="D26" s="6" t="inlineStr">
        <is>
          <t>POL87654321</t>
        </is>
      </c>
      <c r="E26" s="6" t="inlineStr">
        <is>
          <t>Ms. Akter</t>
        </is>
      </c>
      <c r="F26" s="6" t="inlineStr">
        <is>
          <t>2025-11-20</t>
        </is>
      </c>
      <c r="G26" s="6" t="n">
        <v>25000</v>
      </c>
      <c r="H26" s="6" t="inlineStr">
        <is>
          <t>FY</t>
        </is>
      </c>
      <c r="I26" s="6" t="inlineStr">
        <is>
          <t>MUS - Interval 2</t>
        </is>
      </c>
      <c r="J26" s="6" t="inlineStr"/>
      <c r="K26" s="6" t="inlineStr"/>
    </row>
    <row r="27">
      <c r="A27" s="6" t="n">
        <v>3</v>
      </c>
      <c r="B27" s="6" t="n">
        <v>600000000</v>
      </c>
      <c r="C27" s="6" t="n">
        <v>600000000</v>
      </c>
      <c r="D27" s="6" t="inlineStr">
        <is>
          <t>POL11223344</t>
        </is>
      </c>
      <c r="E27" s="6" t="inlineStr">
        <is>
          <t>Mr. Hossain</t>
        </is>
      </c>
      <c r="F27" s="6" t="inlineStr">
        <is>
          <t>2025-12-10</t>
        </is>
      </c>
      <c r="G27" s="6" t="n">
        <v>100000</v>
      </c>
      <c r="H27" s="6" t="inlineStr">
        <is>
          <t>RN</t>
        </is>
      </c>
      <c r="I27" s="6" t="inlineStr">
        <is>
          <t>MUS - Interval 3</t>
        </is>
      </c>
      <c r="J27" s="6" t="inlineStr"/>
      <c r="K27" s="6" t="inlineStr"/>
    </row>
    <row r="28">
      <c r="A28" s="6" t="n">
        <v>4</v>
      </c>
      <c r="B28" s="6" t="n">
        <v>900000000</v>
      </c>
      <c r="C28" s="6" t="n">
        <v>900000000</v>
      </c>
      <c r="D28" s="6" t="inlineStr">
        <is>
          <t>POL55667788</t>
        </is>
      </c>
      <c r="E28" s="6" t="inlineStr">
        <is>
          <t>Mr. Islam</t>
        </is>
      </c>
      <c r="F28" s="6" t="inlineStr">
        <is>
          <t>2025-12-01</t>
        </is>
      </c>
      <c r="G28" s="6" t="n">
        <v>75000</v>
      </c>
      <c r="H28" s="6" t="inlineStr">
        <is>
          <t>RN</t>
        </is>
      </c>
      <c r="I28" s="6" t="inlineStr">
        <is>
          <t>MUS - Interval 4</t>
        </is>
      </c>
      <c r="J28" s="6" t="inlineStr"/>
      <c r="K28" s="6" t="inlineStr">
        <is>
          <t>First Year focus</t>
        </is>
      </c>
    </row>
    <row r="29">
      <c r="A29" s="6" t="n">
        <v>5</v>
      </c>
      <c r="B29" s="6" t="n">
        <v>1200000000</v>
      </c>
      <c r="C29" s="6" t="n">
        <v>1200000000</v>
      </c>
      <c r="D29" s="6" t="inlineStr">
        <is>
          <t>POL99887766</t>
        </is>
      </c>
      <c r="E29" s="6" t="inlineStr">
        <is>
          <t>Ms. Chowdhury</t>
        </is>
      </c>
      <c r="F29" s="6" t="inlineStr">
        <is>
          <t>2025-10-30</t>
        </is>
      </c>
      <c r="G29" s="6" t="n">
        <v>120000</v>
      </c>
      <c r="H29" s="6" t="inlineStr">
        <is>
          <t>FY</t>
        </is>
      </c>
      <c r="I29" s="6" t="inlineStr">
        <is>
          <t>MUS - Interval 5 + High Value</t>
        </is>
      </c>
      <c r="J29" s="6" t="inlineStr"/>
      <c r="K29" s="6" t="inlineStr"/>
    </row>
    <row r="31">
      <c r="A31" t="inlineStr">
        <is>
          <t>Note: Attach MUS calculation sheet (e.g., IDEA/ACL/Excel) as supporting. Ensure coverage of both First Year and Renewal.</t>
        </is>
      </c>
    </row>
  </sheetData>
  <mergeCells count="1">
    <mergeCell ref="A31:F3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20" customWidth="1" min="1" max="1"/>
    <col width="50" customWidth="1" min="2" max="2"/>
    <col width="15"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Detailed Sample Testing - 5 MUS Samples</t>
        </is>
      </c>
    </row>
    <row r="11">
      <c r="A11" s="4" t="inlineStr">
        <is>
          <t>Purpose: To perform detailed vouching for existence, accuracy, valuation, and subsequent realization</t>
        </is>
      </c>
    </row>
    <row r="13">
      <c r="A13" s="9" t="inlineStr">
        <is>
          <t>Sl</t>
        </is>
      </c>
      <c r="B13" s="9" t="inlineStr">
        <is>
          <t>Attribute / Test</t>
        </is>
      </c>
      <c r="C13" s="9" t="inlineStr">
        <is>
          <t>Assertion</t>
        </is>
      </c>
      <c r="D13" s="9" t="inlineStr">
        <is>
          <t>Sample 1: POL12345678</t>
        </is>
      </c>
      <c r="E13" s="9" t="inlineStr">
        <is>
          <t>Sample 2: POL87654321</t>
        </is>
      </c>
      <c r="F13" s="9" t="inlineStr">
        <is>
          <t>Sample 3: POL11223344</t>
        </is>
      </c>
      <c r="G13" s="9" t="inlineStr">
        <is>
          <t>Sample 4: POL55667788</t>
        </is>
      </c>
      <c r="H13" s="9" t="inlineStr">
        <is>
          <t>Sample 5: POL99887766</t>
        </is>
      </c>
      <c r="I13" s="9" t="inlineStr">
        <is>
          <t>Evidence Ref</t>
        </is>
      </c>
      <c r="J13" s="9" t="inlineStr">
        <is>
          <t>Result (Pass/Fail)</t>
        </is>
      </c>
    </row>
    <row r="14">
      <c r="A14" s="6" t="inlineStr">
        <is>
          <t>1</t>
        </is>
      </c>
      <c r="B14" s="6" t="inlineStr">
        <is>
          <t>Policy exists in Policy Admin System (Life Asia)</t>
        </is>
      </c>
      <c r="C14" s="6" t="inlineStr">
        <is>
          <t>E</t>
        </is>
      </c>
      <c r="D14" s="6" t="inlineStr"/>
      <c r="E14" s="6" t="inlineStr"/>
      <c r="F14" s="6" t="inlineStr"/>
      <c r="G14" s="6" t="inlineStr"/>
      <c r="H14" s="6" t="inlineStr"/>
      <c r="I14" s="6" t="inlineStr">
        <is>
          <t>PAS screenshot</t>
        </is>
      </c>
      <c r="J14" s="6" t="inlineStr"/>
    </row>
    <row r="15">
      <c r="A15" s="6" t="inlineStr">
        <is>
          <t>2</t>
        </is>
      </c>
      <c r="B15" s="6" t="inlineStr">
        <is>
          <t>Policy status as at 31 Dec 2025 = In-force / Outstanding (not lapsed/surrendered/cancelled)</t>
        </is>
      </c>
      <c r="C15" s="6" t="inlineStr">
        <is>
          <t>E, R&amp;O</t>
        </is>
      </c>
      <c r="D15" s="6" t="inlineStr"/>
      <c r="E15" s="6" t="inlineStr"/>
      <c r="F15" s="6" t="inlineStr"/>
      <c r="G15" s="6" t="inlineStr"/>
      <c r="H15" s="6" t="inlineStr"/>
      <c r="I15" s="6" t="inlineStr">
        <is>
          <t>PAS status screen</t>
        </is>
      </c>
      <c r="J15" s="6" t="inlineStr"/>
    </row>
    <row r="16">
      <c r="A16" s="6" t="inlineStr">
        <is>
          <t>3</t>
        </is>
      </c>
      <c r="B16" s="6" t="inlineStr">
        <is>
          <t>Premium due date agrees to policy schedule and falls on or before 31 Dec 2025</t>
        </is>
      </c>
      <c r="C16" s="6" t="inlineStr">
        <is>
          <t>E, Cut-off</t>
        </is>
      </c>
      <c r="D16" s="6" t="inlineStr"/>
      <c r="E16" s="6" t="inlineStr"/>
      <c r="F16" s="6" t="inlineStr"/>
      <c r="G16" s="6" t="inlineStr"/>
      <c r="H16" s="6" t="inlineStr"/>
      <c r="I16" s="6" t="inlineStr">
        <is>
          <t>Policy schedule</t>
        </is>
      </c>
      <c r="J16" s="6" t="inlineStr"/>
    </row>
    <row r="17">
      <c r="A17" s="6" t="inlineStr">
        <is>
          <t>4</t>
        </is>
      </c>
      <c r="B17" s="6" t="inlineStr">
        <is>
          <t>Premium due amount agrees to policy schedule / endorsement / premium table (accuracy)</t>
        </is>
      </c>
      <c r="C17" s="6" t="inlineStr">
        <is>
          <t>V</t>
        </is>
      </c>
      <c r="D17" s="6" t="inlineStr"/>
      <c r="E17" s="6" t="inlineStr"/>
      <c r="F17" s="6" t="inlineStr"/>
      <c r="G17" s="6" t="inlineStr"/>
      <c r="H17" s="6" t="inlineStr"/>
      <c r="I17" s="6" t="inlineStr">
        <is>
          <t>Premium table</t>
        </is>
      </c>
      <c r="J17" s="6" t="inlineStr"/>
    </row>
    <row r="18">
      <c r="A18" s="6" t="inlineStr">
        <is>
          <t>5</t>
        </is>
      </c>
      <c r="B18" s="6" t="inlineStr">
        <is>
          <t>Premium type correctly classified as First Year vs Renewal</t>
        </is>
      </c>
      <c r="C18" s="6" t="inlineStr">
        <is>
          <t>P, V</t>
        </is>
      </c>
      <c r="D18" s="6" t="inlineStr"/>
      <c r="E18" s="6" t="inlineStr"/>
      <c r="F18" s="6" t="inlineStr"/>
      <c r="G18" s="6" t="inlineStr"/>
      <c r="H18" s="6" t="inlineStr"/>
      <c r="I18" s="6" t="inlineStr">
        <is>
          <t>Policy year check</t>
        </is>
      </c>
      <c r="J18" s="6" t="inlineStr"/>
    </row>
    <row r="19">
      <c r="A19" s="6" t="inlineStr">
        <is>
          <t>6</t>
        </is>
      </c>
      <c r="B19" s="6" t="inlineStr">
        <is>
          <t>Aging calculation correct: Due Date + 90 days = Grace End Date; Days overdue &lt;=90 as at 31 Dec</t>
        </is>
      </c>
      <c r="C19" s="6" t="inlineStr">
        <is>
          <t>V, Cut-off</t>
        </is>
      </c>
      <c r="D19" s="6" t="inlineStr"/>
      <c r="E19" s="6" t="inlineStr"/>
      <c r="F19" s="6" t="inlineStr"/>
      <c r="G19" s="6" t="inlineStr"/>
      <c r="H19" s="6" t="inlineStr"/>
      <c r="I19" s="6" t="inlineStr">
        <is>
          <t>Recalculation</t>
        </is>
      </c>
      <c r="J19" s="6" t="inlineStr"/>
    </row>
    <row r="20">
      <c r="A20" s="6" t="inlineStr">
        <is>
          <t>7</t>
        </is>
      </c>
      <c r="B20" s="6" t="inlineStr">
        <is>
          <t>Cash value available as at grace end date - sufficient / insufficient correctly determined</t>
        </is>
      </c>
      <c r="C20" s="6" t="inlineStr">
        <is>
          <t>V</t>
        </is>
      </c>
      <c r="D20" s="6" t="inlineStr"/>
      <c r="E20" s="6" t="inlineStr"/>
      <c r="F20" s="6" t="inlineStr"/>
      <c r="G20" s="6" t="inlineStr"/>
      <c r="H20" s="6" t="inlineStr"/>
      <c r="I20" s="6" t="inlineStr">
        <is>
          <t>Cash value report</t>
        </is>
      </c>
      <c r="J20" s="6" t="inlineStr"/>
    </row>
    <row r="21">
      <c r="A21" s="6" t="inlineStr">
        <is>
          <t>8</t>
        </is>
      </c>
      <c r="B21" s="6" t="inlineStr">
        <is>
          <t>Subsequent Collection - Receipt Date (must be within 90 days from due date)</t>
        </is>
      </c>
      <c r="C21" s="6" t="inlineStr">
        <is>
          <t>E, Subsequent Event</t>
        </is>
      </c>
      <c r="D21" s="6" t="inlineStr"/>
      <c r="E21" s="6" t="inlineStr"/>
      <c r="F21" s="6" t="inlineStr"/>
      <c r="G21" s="6" t="inlineStr"/>
      <c r="H21" s="6" t="inlineStr"/>
      <c r="I21" s="6" t="inlineStr">
        <is>
          <t>Receipt / Bank stmt</t>
        </is>
      </c>
      <c r="J21" s="6" t="inlineStr"/>
    </row>
    <row r="22">
      <c r="A22" s="6" t="inlineStr">
        <is>
          <t>9</t>
        </is>
      </c>
      <c r="B22" s="6" t="inlineStr">
        <is>
          <t>Subsequent Collection - Amount matches outstanding amount</t>
        </is>
      </c>
      <c r="C22" s="6" t="inlineStr">
        <is>
          <t>V</t>
        </is>
      </c>
      <c r="D22" s="6" t="inlineStr"/>
      <c r="E22" s="6" t="inlineStr"/>
      <c r="F22" s="6" t="inlineStr"/>
      <c r="G22" s="6" t="inlineStr"/>
      <c r="H22" s="6" t="inlineStr"/>
      <c r="I22" s="6" t="inlineStr">
        <is>
          <t>Receipt</t>
        </is>
      </c>
      <c r="J22" s="6" t="inlineStr"/>
    </row>
    <row r="23">
      <c r="A23" s="6" t="inlineStr">
        <is>
          <t>10</t>
        </is>
      </c>
      <c r="B23" s="6" t="inlineStr">
        <is>
          <t>Subsequent Collection - Mode (Cash/Bank/Mobile) verified with bank statement / cash book</t>
        </is>
      </c>
      <c r="C23" s="6" t="inlineStr">
        <is>
          <t>E, V</t>
        </is>
      </c>
      <c r="D23" s="6" t="inlineStr"/>
      <c r="E23" s="6" t="inlineStr"/>
      <c r="F23" s="6" t="inlineStr"/>
      <c r="G23" s="6" t="inlineStr"/>
      <c r="H23" s="6" t="inlineStr"/>
      <c r="I23" s="6" t="inlineStr">
        <is>
          <t>Bank statement</t>
        </is>
      </c>
      <c r="J23" s="6" t="inlineStr"/>
    </row>
    <row r="24">
      <c r="A24" s="6" t="inlineStr">
        <is>
          <t>11</t>
        </is>
      </c>
      <c r="B24" s="6" t="inlineStr">
        <is>
          <t>If not collected in cash: Auto Policy Loan created - Loan creation date = Grace End Date</t>
        </is>
      </c>
      <c r="C24" s="6" t="inlineStr">
        <is>
          <t>E, V</t>
        </is>
      </c>
      <c r="D24" s="6" t="inlineStr"/>
      <c r="E24" s="6" t="inlineStr"/>
      <c r="F24" s="6" t="inlineStr"/>
      <c r="G24" s="6" t="inlineStr"/>
      <c r="H24" s="6" t="inlineStr"/>
      <c r="I24" s="6" t="inlineStr">
        <is>
          <t>Loan ledger</t>
        </is>
      </c>
      <c r="J24" s="6" t="inlineStr"/>
    </row>
    <row r="25">
      <c r="A25" s="6" t="inlineStr">
        <is>
          <t>12</t>
        </is>
      </c>
      <c r="B25" s="6" t="inlineStr">
        <is>
          <t>Policy loan amount = outstanding premium + interest (if any) - verified</t>
        </is>
      </c>
      <c r="C25" s="6" t="inlineStr">
        <is>
          <t>V</t>
        </is>
      </c>
      <c r="D25" s="6" t="inlineStr"/>
      <c r="E25" s="6" t="inlineStr"/>
      <c r="F25" s="6" t="inlineStr"/>
      <c r="G25" s="6" t="inlineStr"/>
      <c r="H25" s="6" t="inlineStr"/>
      <c r="I25" s="6" t="inlineStr">
        <is>
          <t>Loan ledger</t>
        </is>
      </c>
      <c r="J25" s="6" t="inlineStr"/>
    </row>
    <row r="26">
      <c r="A26" s="6" t="inlineStr">
        <is>
          <t>13</t>
        </is>
      </c>
      <c r="B26" s="6" t="inlineStr">
        <is>
          <t>If no cash value: Auto Surrender - Surrender date = Grace End Date (last day of grace)</t>
        </is>
      </c>
      <c r="C26" s="6" t="inlineStr">
        <is>
          <t>E</t>
        </is>
      </c>
      <c r="D26" s="6" t="inlineStr"/>
      <c r="E26" s="6" t="inlineStr"/>
      <c r="F26" s="6" t="inlineStr"/>
      <c r="G26" s="6" t="inlineStr"/>
      <c r="H26" s="6" t="inlineStr"/>
      <c r="I26" s="6" t="inlineStr">
        <is>
          <t>Surrender voucher</t>
        </is>
      </c>
      <c r="J26" s="6" t="inlineStr"/>
    </row>
    <row r="27">
      <c r="A27" s="6" t="inlineStr">
        <is>
          <t>14</t>
        </is>
      </c>
      <c r="B27" s="6" t="inlineStr">
        <is>
          <t>Accounting entries for realization/adjustment correctly posted (Outstanding Cr)</t>
        </is>
      </c>
      <c r="C27" s="6" t="inlineStr">
        <is>
          <t>V, P</t>
        </is>
      </c>
      <c r="D27" s="6" t="inlineStr"/>
      <c r="E27" s="6" t="inlineStr"/>
      <c r="F27" s="6" t="inlineStr"/>
      <c r="G27" s="6" t="inlineStr"/>
      <c r="H27" s="6" t="inlineStr"/>
      <c r="I27" s="6" t="inlineStr">
        <is>
          <t>GL entry</t>
        </is>
      </c>
      <c r="J27" s="6" t="inlineStr"/>
    </row>
    <row r="28">
      <c r="A28" s="6" t="inlineStr">
        <is>
          <t>15</t>
        </is>
      </c>
      <c r="B28" s="6" t="inlineStr">
        <is>
          <t>No duplicate inclusion of same policy in outstanding list</t>
        </is>
      </c>
      <c r="C28" s="6" t="inlineStr">
        <is>
          <t>E</t>
        </is>
      </c>
      <c r="D28" s="6" t="inlineStr"/>
      <c r="E28" s="6" t="inlineStr"/>
      <c r="F28" s="6" t="inlineStr"/>
      <c r="G28" s="6" t="inlineStr"/>
      <c r="H28" s="6" t="inlineStr"/>
      <c r="I28" s="6" t="inlineStr">
        <is>
          <t>Duplicate check</t>
        </is>
      </c>
      <c r="J28" s="6" t="inlineStr"/>
    </row>
    <row r="29">
      <c r="A29" s="6" t="inlineStr">
        <is>
          <t>16</t>
        </is>
      </c>
      <c r="B29" s="6" t="inlineStr">
        <is>
          <t>Overall conclusion for this sample (Pass / Exception)</t>
        </is>
      </c>
      <c r="C29" s="6" t="inlineStr">
        <is>
          <t>All</t>
        </is>
      </c>
      <c r="D29" s="6" t="inlineStr"/>
      <c r="E29" s="6" t="inlineStr"/>
      <c r="F29" s="6" t="inlineStr"/>
      <c r="G29" s="6" t="inlineStr"/>
      <c r="H29" s="6" t="inlineStr"/>
      <c r="I29" s="6" t="inlineStr"/>
      <c r="J29" s="6" t="inlineStr"/>
    </row>
    <row r="31">
      <c r="A31" s="7" t="inlineStr">
        <is>
          <t>Summary of Exceptions for 5 Samples</t>
        </is>
      </c>
    </row>
    <row r="32">
      <c r="A32" s="9" t="inlineStr">
        <is>
          <t>Sample No</t>
        </is>
      </c>
      <c r="B32" s="9" t="inlineStr">
        <is>
          <t>Policy No</t>
        </is>
      </c>
      <c r="C32" s="9" t="inlineStr">
        <is>
          <t>Exception Description</t>
        </is>
      </c>
      <c r="D32" s="9" t="inlineStr">
        <is>
          <t>Impact (BDT)</t>
        </is>
      </c>
      <c r="E32" s="9" t="inlineStr">
        <is>
          <t>Impact on Certificate?</t>
        </is>
      </c>
      <c r="F32" s="9" t="inlineStr">
        <is>
          <t>Management Response</t>
        </is>
      </c>
      <c r="G32" s="9" t="inlineStr">
        <is>
          <t>Auditor's Further Action</t>
        </is>
      </c>
    </row>
    <row r="33">
      <c r="A33" s="6" t="n">
        <v>1</v>
      </c>
      <c r="B33" s="6" t="n"/>
      <c r="C33" s="6" t="n"/>
      <c r="D33" s="6" t="n"/>
      <c r="E33" s="6" t="n"/>
      <c r="F33" s="6" t="n"/>
      <c r="G33" s="6" t="n"/>
    </row>
    <row r="34">
      <c r="A34" s="6" t="n">
        <v>2</v>
      </c>
      <c r="B34" s="6" t="n"/>
      <c r="C34" s="6" t="n"/>
      <c r="D34" s="6" t="n"/>
      <c r="E34" s="6" t="n"/>
      <c r="F34" s="6" t="n"/>
      <c r="G34" s="6" t="n"/>
    </row>
    <row r="35">
      <c r="A35" s="6" t="n">
        <v>3</v>
      </c>
      <c r="B35" s="6" t="n"/>
      <c r="C35" s="6" t="n"/>
      <c r="D35" s="6" t="n"/>
      <c r="E35" s="6" t="n"/>
      <c r="F35" s="6" t="n"/>
      <c r="G35" s="6" t="n"/>
    </row>
    <row r="36">
      <c r="A36" s="6" t="n">
        <v>4</v>
      </c>
      <c r="B36" s="6" t="n"/>
      <c r="C36" s="6" t="n"/>
      <c r="D36" s="6" t="n"/>
      <c r="E36" s="6" t="n"/>
      <c r="F36" s="6" t="n"/>
      <c r="G36" s="6" t="n"/>
    </row>
    <row r="37">
      <c r="A37" s="6" t="n">
        <v>5</v>
      </c>
      <c r="B37" s="6" t="n"/>
      <c r="C37" s="6" t="n"/>
      <c r="D37" s="6" t="n"/>
      <c r="E37" s="6" t="n"/>
      <c r="F37" s="6" t="n"/>
      <c r="G37" s="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cols>
    <col width="16" customWidth="1" min="1" max="1"/>
    <col width="18" customWidth="1" min="2" max="2"/>
    <col width="2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Subsequent Realization / Adjustment Testing - For Certificate (100% Population)</t>
        </is>
      </c>
    </row>
    <row r="11">
      <c r="A11" s="4" t="inlineStr">
        <is>
          <t>Purpose: To verify ALL outstanding as at 31 Dec 2025 realized or adjusted within grace period for issuing certificate</t>
        </is>
      </c>
    </row>
    <row r="13">
      <c r="A13" s="3" t="inlineStr">
        <is>
          <t>Cut-off Date for Certificate Verification: [e.g., 31 March 2026 - 90 days after year end + processing time]</t>
        </is>
      </c>
    </row>
    <row r="14">
      <c r="A14" s="3" t="inlineStr">
        <is>
          <t>Total Outstanding as per FS: Tk. 1,435,719,236</t>
        </is>
      </c>
    </row>
    <row r="15">
      <c r="A15" s="9" t="inlineStr">
        <is>
          <t>Sl</t>
        </is>
      </c>
      <c r="B15" s="9" t="inlineStr">
        <is>
          <t>Policy No</t>
        </is>
      </c>
      <c r="C15" s="9" t="inlineStr">
        <is>
          <t>Policyholder Name</t>
        </is>
      </c>
      <c r="D15" s="9" t="inlineStr">
        <is>
          <t>Due Date</t>
        </is>
      </c>
      <c r="E15" s="9" t="inlineStr">
        <is>
          <t>Due Amount (BDT)</t>
        </is>
      </c>
      <c r="F15" s="9" t="inlineStr">
        <is>
          <t>FY/RN</t>
        </is>
      </c>
      <c r="G15" s="9" t="inlineStr">
        <is>
          <t>Grace End Date (Due+90)</t>
        </is>
      </c>
      <c r="H15" s="9" t="inlineStr">
        <is>
          <t>Subsequent Receipt / Adjustment Date</t>
        </is>
      </c>
      <c r="I15" s="9" t="inlineStr">
        <is>
          <t>Days to Realization (=Adj Date - Due Date)</t>
        </is>
      </c>
      <c r="J15" s="9" t="inlineStr">
        <is>
          <t>Within 90 Days? (Y/N)</t>
        </is>
      </c>
      <c r="K15" s="9" t="inlineStr">
        <is>
          <t>Mode of Realization (Cash/Bank/Policy Loan/Surrender)</t>
        </is>
      </c>
      <c r="L15" s="9" t="inlineStr">
        <is>
          <t>Amount Realized / Adjusted (BDT)</t>
        </is>
      </c>
      <c r="M15" s="9" t="inlineStr">
        <is>
          <t>Balance Un-realized (BDT)</t>
        </is>
      </c>
      <c r="N15" s="9" t="inlineStr">
        <is>
          <t>Supporting Document Ref (Receipt No / Loan No / Surrender No)</t>
        </is>
      </c>
      <c r="O15" s="9" t="inlineStr">
        <is>
          <t>Bank Statement / Ledger Verified? (Y/N)</t>
        </is>
      </c>
      <c r="P15" s="9" t="inlineStr">
        <is>
          <t>Verified By</t>
        </is>
      </c>
      <c r="Q15" s="9" t="inlineStr">
        <is>
          <t>Remarks / Exception</t>
        </is>
      </c>
    </row>
    <row r="16">
      <c r="A16" s="6" t="n">
        <v>1</v>
      </c>
      <c r="B16" s="6" t="inlineStr">
        <is>
          <t>POL12345678</t>
        </is>
      </c>
      <c r="C16" s="6" t="inlineStr">
        <is>
          <t>Mr. Rahman</t>
        </is>
      </c>
      <c r="D16" s="12" t="inlineStr">
        <is>
          <t>2025-10-15</t>
        </is>
      </c>
      <c r="E16" s="6" t="n">
        <v>50000</v>
      </c>
      <c r="F16" s="6" t="inlineStr">
        <is>
          <t>RN</t>
        </is>
      </c>
      <c r="G16" s="12">
        <f>D16+90</f>
        <v/>
      </c>
      <c r="H16" s="12" t="inlineStr">
        <is>
          <t>2026-01-10</t>
        </is>
      </c>
      <c r="I16" s="6">
        <f>IF(H16="","",H16-D16)</f>
        <v/>
      </c>
      <c r="J16" s="6">
        <f>IF(I16="","",IF(I16&lt;=90,"Y","N"))</f>
        <v/>
      </c>
      <c r="K16" s="6" t="inlineStr">
        <is>
          <t>Bank</t>
        </is>
      </c>
      <c r="L16" s="6" t="n">
        <v>50000</v>
      </c>
      <c r="M16" s="6">
        <f>E16-L16</f>
        <v/>
      </c>
      <c r="N16" s="6" t="inlineStr">
        <is>
          <t>Rct-001</t>
        </is>
      </c>
      <c r="O16" s="6" t="inlineStr">
        <is>
          <t>Y</t>
        </is>
      </c>
      <c r="P16" s="6" t="inlineStr"/>
      <c r="Q16" s="6" t="inlineStr">
        <is>
          <t>Realized within grace</t>
        </is>
      </c>
    </row>
    <row r="17">
      <c r="A17" s="6" t="n">
        <v>2</v>
      </c>
      <c r="B17" s="6" t="inlineStr">
        <is>
          <t>POL87654321</t>
        </is>
      </c>
      <c r="C17" s="6" t="inlineStr">
        <is>
          <t>Ms. Akter</t>
        </is>
      </c>
      <c r="D17" s="12" t="inlineStr">
        <is>
          <t>2025-11-20</t>
        </is>
      </c>
      <c r="E17" s="6" t="n">
        <v>25000</v>
      </c>
      <c r="F17" s="6" t="inlineStr">
        <is>
          <t>FY</t>
        </is>
      </c>
      <c r="G17" s="12">
        <f>D17+90</f>
        <v/>
      </c>
      <c r="H17" s="12" t="inlineStr">
        <is>
          <t>2026-02-15</t>
        </is>
      </c>
      <c r="I17" s="6">
        <f>IF(H17="","",H17-D17)</f>
        <v/>
      </c>
      <c r="J17" s="6">
        <f>IF(I17="","",IF(I17&lt;=90,"Y","N"))</f>
        <v/>
      </c>
      <c r="K17" s="6" t="inlineStr">
        <is>
          <t>Policy Loan</t>
        </is>
      </c>
      <c r="L17" s="6" t="n">
        <v>25000</v>
      </c>
      <c r="M17" s="6">
        <f>E17-L17</f>
        <v/>
      </c>
      <c r="N17" s="6" t="inlineStr">
        <is>
          <t>Loan-002</t>
        </is>
      </c>
      <c r="O17" s="6" t="inlineStr">
        <is>
          <t>Y</t>
        </is>
      </c>
      <c r="P17" s="6" t="inlineStr"/>
      <c r="Q17" s="6" t="inlineStr">
        <is>
          <t>Adjusted via auto loan on grace end</t>
        </is>
      </c>
    </row>
    <row r="18">
      <c r="A18" s="6" t="n">
        <v>3</v>
      </c>
      <c r="B18" s="6" t="inlineStr">
        <is>
          <t>POL11223344</t>
        </is>
      </c>
      <c r="C18" s="6" t="inlineStr">
        <is>
          <t>Mr. Hossain</t>
        </is>
      </c>
      <c r="D18" s="12" t="inlineStr">
        <is>
          <t>2025-12-10</t>
        </is>
      </c>
      <c r="E18" s="6" t="n">
        <v>100000</v>
      </c>
      <c r="F18" s="6" t="inlineStr">
        <is>
          <t>RN</t>
        </is>
      </c>
      <c r="G18" s="12">
        <f>D18+90</f>
        <v/>
      </c>
      <c r="H18" s="12" t="inlineStr">
        <is>
          <t>2026-03-10</t>
        </is>
      </c>
      <c r="I18" s="6">
        <f>IF(H18="","",H18-D18)</f>
        <v/>
      </c>
      <c r="J18" s="6">
        <f>IF(I18="","",IF(I18&lt;=90,"Y","N"))</f>
        <v/>
      </c>
      <c r="K18" s="6" t="inlineStr">
        <is>
          <t>Surrender</t>
        </is>
      </c>
      <c r="L18" s="6" t="n">
        <v>100000</v>
      </c>
      <c r="M18" s="6">
        <f>E18-L18</f>
        <v/>
      </c>
      <c r="N18" s="6" t="inlineStr">
        <is>
          <t>Surr-003</t>
        </is>
      </c>
      <c r="O18" s="6" t="inlineStr">
        <is>
          <t>Y</t>
        </is>
      </c>
      <c r="P18" s="6" t="inlineStr"/>
      <c r="Q18" s="6" t="inlineStr">
        <is>
          <t>Surrendered - no cash value</t>
        </is>
      </c>
    </row>
    <row r="19">
      <c r="A19" s="6" t="n">
        <v>4</v>
      </c>
      <c r="B19" s="6" t="n"/>
      <c r="C19" s="6" t="n"/>
      <c r="D19" s="6" t="n"/>
      <c r="E19" s="6" t="n"/>
      <c r="F19" s="6" t="n"/>
      <c r="G19" s="6">
        <f>IF(D19="","",D19+90)</f>
        <v/>
      </c>
      <c r="H19" s="6" t="n"/>
      <c r="I19" s="6">
        <f>IF(H19="","",H19-D19)</f>
        <v/>
      </c>
      <c r="J19" s="6">
        <f>IF(I19="","",IF(I19&lt;=90,"Y","N"))</f>
        <v/>
      </c>
      <c r="K19" s="6" t="n"/>
      <c r="L19" s="6" t="n"/>
      <c r="M19" s="6">
        <f>IF(E19="","",E19-L19)</f>
        <v/>
      </c>
      <c r="N19" s="6" t="n"/>
      <c r="O19" s="6" t="n"/>
      <c r="P19" s="6" t="n"/>
      <c r="Q19" s="6" t="n"/>
    </row>
    <row r="20">
      <c r="A20" s="6" t="n">
        <v>5</v>
      </c>
      <c r="B20" s="6" t="n"/>
      <c r="C20" s="6" t="n"/>
      <c r="D20" s="6" t="n"/>
      <c r="E20" s="6" t="n"/>
      <c r="F20" s="6" t="n"/>
      <c r="G20" s="6">
        <f>IF(D20="","",D20+90)</f>
        <v/>
      </c>
      <c r="H20" s="6" t="n"/>
      <c r="I20" s="6">
        <f>IF(H20="","",H20-D20)</f>
        <v/>
      </c>
      <c r="J20" s="6">
        <f>IF(I20="","",IF(I20&lt;=90,"Y","N"))</f>
        <v/>
      </c>
      <c r="K20" s="6" t="n"/>
      <c r="L20" s="6" t="n"/>
      <c r="M20" s="6">
        <f>IF(E20="","",E20-L20)</f>
        <v/>
      </c>
      <c r="N20" s="6" t="n"/>
      <c r="O20" s="6" t="n"/>
      <c r="P20" s="6" t="n"/>
      <c r="Q20" s="6" t="n"/>
    </row>
    <row r="21">
      <c r="A21" s="6" t="n">
        <v>6</v>
      </c>
      <c r="B21" s="6" t="n"/>
      <c r="C21" s="6" t="n"/>
      <c r="D21" s="6" t="n"/>
      <c r="E21" s="6" t="n"/>
      <c r="F21" s="6" t="n"/>
      <c r="G21" s="6">
        <f>IF(D21="","",D21+90)</f>
        <v/>
      </c>
      <c r="H21" s="6" t="n"/>
      <c r="I21" s="6">
        <f>IF(H21="","",H21-D21)</f>
        <v/>
      </c>
      <c r="J21" s="6">
        <f>IF(I21="","",IF(I21&lt;=90,"Y","N"))</f>
        <v/>
      </c>
      <c r="K21" s="6" t="n"/>
      <c r="L21" s="6" t="n"/>
      <c r="M21" s="6">
        <f>IF(E21="","",E21-L21)</f>
        <v/>
      </c>
      <c r="N21" s="6" t="n"/>
      <c r="O21" s="6" t="n"/>
      <c r="P21" s="6" t="n"/>
      <c r="Q21" s="6" t="n"/>
    </row>
    <row r="22">
      <c r="A22" s="6" t="n">
        <v>7</v>
      </c>
      <c r="B22" s="6" t="n"/>
      <c r="C22" s="6" t="n"/>
      <c r="D22" s="6" t="n"/>
      <c r="E22" s="6" t="n"/>
      <c r="F22" s="6" t="n"/>
      <c r="G22" s="6">
        <f>IF(D22="","",D22+90)</f>
        <v/>
      </c>
      <c r="H22" s="6" t="n"/>
      <c r="I22" s="6">
        <f>IF(H22="","",H22-D22)</f>
        <v/>
      </c>
      <c r="J22" s="6">
        <f>IF(I22="","",IF(I22&lt;=90,"Y","N"))</f>
        <v/>
      </c>
      <c r="K22" s="6" t="n"/>
      <c r="L22" s="6" t="n"/>
      <c r="M22" s="6">
        <f>IF(E22="","",E22-L22)</f>
        <v/>
      </c>
      <c r="N22" s="6" t="n"/>
      <c r="O22" s="6" t="n"/>
      <c r="P22" s="6" t="n"/>
      <c r="Q22" s="6" t="n"/>
    </row>
    <row r="23">
      <c r="A23" s="6" t="n">
        <v>8</v>
      </c>
      <c r="B23" s="6" t="n"/>
      <c r="C23" s="6" t="n"/>
      <c r="D23" s="6" t="n"/>
      <c r="E23" s="6" t="n"/>
      <c r="F23" s="6" t="n"/>
      <c r="G23" s="6">
        <f>IF(D23="","",D23+90)</f>
        <v/>
      </c>
      <c r="H23" s="6" t="n"/>
      <c r="I23" s="6">
        <f>IF(H23="","",H23-D23)</f>
        <v/>
      </c>
      <c r="J23" s="6">
        <f>IF(I23="","",IF(I23&lt;=90,"Y","N"))</f>
        <v/>
      </c>
      <c r="K23" s="6" t="n"/>
      <c r="L23" s="6" t="n"/>
      <c r="M23" s="6">
        <f>IF(E23="","",E23-L23)</f>
        <v/>
      </c>
      <c r="N23" s="6" t="n"/>
      <c r="O23" s="6" t="n"/>
      <c r="P23" s="6" t="n"/>
      <c r="Q23" s="6" t="n"/>
    </row>
    <row r="24">
      <c r="A24" s="6" t="n">
        <v>9</v>
      </c>
      <c r="B24" s="6" t="n"/>
      <c r="C24" s="6" t="n"/>
      <c r="D24" s="6" t="n"/>
      <c r="E24" s="6" t="n"/>
      <c r="F24" s="6" t="n"/>
      <c r="G24" s="6">
        <f>IF(D24="","",D24+90)</f>
        <v/>
      </c>
      <c r="H24" s="6" t="n"/>
      <c r="I24" s="6">
        <f>IF(H24="","",H24-D24)</f>
        <v/>
      </c>
      <c r="J24" s="6">
        <f>IF(I24="","",IF(I24&lt;=90,"Y","N"))</f>
        <v/>
      </c>
      <c r="K24" s="6" t="n"/>
      <c r="L24" s="6" t="n"/>
      <c r="M24" s="6">
        <f>IF(E24="","",E24-L24)</f>
        <v/>
      </c>
      <c r="N24" s="6" t="n"/>
      <c r="O24" s="6" t="n"/>
      <c r="P24" s="6" t="n"/>
      <c r="Q24" s="6" t="n"/>
    </row>
    <row r="25">
      <c r="A25" s="6" t="n">
        <v>10</v>
      </c>
      <c r="B25" s="6" t="n"/>
      <c r="C25" s="6" t="n"/>
      <c r="D25" s="6" t="n"/>
      <c r="E25" s="6" t="n"/>
      <c r="F25" s="6" t="n"/>
      <c r="G25" s="6">
        <f>IF(D25="","",D25+90)</f>
        <v/>
      </c>
      <c r="H25" s="6" t="n"/>
      <c r="I25" s="6">
        <f>IF(H25="","",H25-D25)</f>
        <v/>
      </c>
      <c r="J25" s="6">
        <f>IF(I25="","",IF(I25&lt;=90,"Y","N"))</f>
        <v/>
      </c>
      <c r="K25" s="6" t="n"/>
      <c r="L25" s="6" t="n"/>
      <c r="M25" s="6">
        <f>IF(E25="","",E25-L25)</f>
        <v/>
      </c>
      <c r="N25" s="6" t="n"/>
      <c r="O25" s="6" t="n"/>
      <c r="P25" s="6" t="n"/>
      <c r="Q25" s="6" t="n"/>
    </row>
    <row r="26">
      <c r="A26" s="6" t="n">
        <v>11</v>
      </c>
      <c r="B26" s="6" t="n"/>
      <c r="C26" s="6" t="n"/>
      <c r="D26" s="6" t="n"/>
      <c r="E26" s="6" t="n"/>
      <c r="F26" s="6" t="n"/>
      <c r="G26" s="6">
        <f>IF(D26="","",D26+90)</f>
        <v/>
      </c>
      <c r="H26" s="6" t="n"/>
      <c r="I26" s="6">
        <f>IF(H26="","",H26-D26)</f>
        <v/>
      </c>
      <c r="J26" s="6">
        <f>IF(I26="","",IF(I26&lt;=90,"Y","N"))</f>
        <v/>
      </c>
      <c r="K26" s="6" t="n"/>
      <c r="L26" s="6" t="n"/>
      <c r="M26" s="6">
        <f>IF(E26="","",E26-L26)</f>
        <v/>
      </c>
      <c r="N26" s="6" t="n"/>
      <c r="O26" s="6" t="n"/>
      <c r="P26" s="6" t="n"/>
      <c r="Q26" s="6" t="n"/>
    </row>
    <row r="27">
      <c r="A27" s="6" t="n">
        <v>12</v>
      </c>
      <c r="B27" s="6" t="n"/>
      <c r="C27" s="6" t="n"/>
      <c r="D27" s="6" t="n"/>
      <c r="E27" s="6" t="n"/>
      <c r="F27" s="6" t="n"/>
      <c r="G27" s="6">
        <f>IF(D27="","",D27+90)</f>
        <v/>
      </c>
      <c r="H27" s="6" t="n"/>
      <c r="I27" s="6">
        <f>IF(H27="","",H27-D27)</f>
        <v/>
      </c>
      <c r="J27" s="6">
        <f>IF(I27="","",IF(I27&lt;=90,"Y","N"))</f>
        <v/>
      </c>
      <c r="K27" s="6" t="n"/>
      <c r="L27" s="6" t="n"/>
      <c r="M27" s="6">
        <f>IF(E27="","",E27-L27)</f>
        <v/>
      </c>
      <c r="N27" s="6" t="n"/>
      <c r="O27" s="6" t="n"/>
      <c r="P27" s="6" t="n"/>
      <c r="Q27" s="6" t="n"/>
    </row>
    <row r="28">
      <c r="A28" s="6" t="n">
        <v>13</v>
      </c>
      <c r="B28" s="6" t="n"/>
      <c r="C28" s="6" t="n"/>
      <c r="D28" s="6" t="n"/>
      <c r="E28" s="6" t="n"/>
      <c r="F28" s="6" t="n"/>
      <c r="G28" s="6">
        <f>IF(D28="","",D28+90)</f>
        <v/>
      </c>
      <c r="H28" s="6" t="n"/>
      <c r="I28" s="6">
        <f>IF(H28="","",H28-D28)</f>
        <v/>
      </c>
      <c r="J28" s="6">
        <f>IF(I28="","",IF(I28&lt;=90,"Y","N"))</f>
        <v/>
      </c>
      <c r="K28" s="6" t="n"/>
      <c r="L28" s="6" t="n"/>
      <c r="M28" s="6">
        <f>IF(E28="","",E28-L28)</f>
        <v/>
      </c>
      <c r="N28" s="6" t="n"/>
      <c r="O28" s="6" t="n"/>
      <c r="P28" s="6" t="n"/>
      <c r="Q28" s="6" t="n"/>
    </row>
    <row r="29">
      <c r="A29" s="6" t="n">
        <v>14</v>
      </c>
      <c r="B29" s="6" t="n"/>
      <c r="C29" s="6" t="n"/>
      <c r="D29" s="6" t="n"/>
      <c r="E29" s="6" t="n"/>
      <c r="F29" s="6" t="n"/>
      <c r="G29" s="6">
        <f>IF(D29="","",D29+90)</f>
        <v/>
      </c>
      <c r="H29" s="6" t="n"/>
      <c r="I29" s="6">
        <f>IF(H29="","",H29-D29)</f>
        <v/>
      </c>
      <c r="J29" s="6">
        <f>IF(I29="","",IF(I29&lt;=90,"Y","N"))</f>
        <v/>
      </c>
      <c r="K29" s="6" t="n"/>
      <c r="L29" s="6" t="n"/>
      <c r="M29" s="6">
        <f>IF(E29="","",E29-L29)</f>
        <v/>
      </c>
      <c r="N29" s="6" t="n"/>
      <c r="O29" s="6" t="n"/>
      <c r="P29" s="6" t="n"/>
      <c r="Q29" s="6" t="n"/>
    </row>
    <row r="30">
      <c r="A30" s="6" t="n">
        <v>15</v>
      </c>
      <c r="B30" s="6" t="n"/>
      <c r="C30" s="6" t="n"/>
      <c r="D30" s="6" t="n"/>
      <c r="E30" s="6" t="n"/>
      <c r="F30" s="6" t="n"/>
      <c r="G30" s="6">
        <f>IF(D30="","",D30+90)</f>
        <v/>
      </c>
      <c r="H30" s="6" t="n"/>
      <c r="I30" s="6">
        <f>IF(H30="","",H30-D30)</f>
        <v/>
      </c>
      <c r="J30" s="6">
        <f>IF(I30="","",IF(I30&lt;=90,"Y","N"))</f>
        <v/>
      </c>
      <c r="K30" s="6" t="n"/>
      <c r="L30" s="6" t="n"/>
      <c r="M30" s="6">
        <f>IF(E30="","",E30-L30)</f>
        <v/>
      </c>
      <c r="N30" s="6" t="n"/>
      <c r="O30" s="6" t="n"/>
      <c r="P30" s="6" t="n"/>
      <c r="Q30" s="6" t="n"/>
    </row>
    <row r="31">
      <c r="A31" s="6" t="n">
        <v>16</v>
      </c>
      <c r="B31" s="6" t="n"/>
      <c r="C31" s="6" t="n"/>
      <c r="D31" s="6" t="n"/>
      <c r="E31" s="6" t="n"/>
      <c r="F31" s="6" t="n"/>
      <c r="G31" s="6">
        <f>IF(D31="","",D31+90)</f>
        <v/>
      </c>
      <c r="H31" s="6" t="n"/>
      <c r="I31" s="6">
        <f>IF(H31="","",H31-D31)</f>
        <v/>
      </c>
      <c r="J31" s="6">
        <f>IF(I31="","",IF(I31&lt;=90,"Y","N"))</f>
        <v/>
      </c>
      <c r="K31" s="6" t="n"/>
      <c r="L31" s="6" t="n"/>
      <c r="M31" s="6">
        <f>IF(E31="","",E31-L31)</f>
        <v/>
      </c>
      <c r="N31" s="6" t="n"/>
      <c r="O31" s="6" t="n"/>
      <c r="P31" s="6" t="n"/>
      <c r="Q31" s="6" t="n"/>
    </row>
    <row r="32">
      <c r="A32" s="6" t="n">
        <v>17</v>
      </c>
      <c r="B32" s="6" t="n"/>
      <c r="C32" s="6" t="n"/>
      <c r="D32" s="6" t="n"/>
      <c r="E32" s="6" t="n"/>
      <c r="F32" s="6" t="n"/>
      <c r="G32" s="6">
        <f>IF(D32="","",D32+90)</f>
        <v/>
      </c>
      <c r="H32" s="6" t="n"/>
      <c r="I32" s="6">
        <f>IF(H32="","",H32-D32)</f>
        <v/>
      </c>
      <c r="J32" s="6">
        <f>IF(I32="","",IF(I32&lt;=90,"Y","N"))</f>
        <v/>
      </c>
      <c r="K32" s="6" t="n"/>
      <c r="L32" s="6" t="n"/>
      <c r="M32" s="6">
        <f>IF(E32="","",E32-L32)</f>
        <v/>
      </c>
      <c r="N32" s="6" t="n"/>
      <c r="O32" s="6" t="n"/>
      <c r="P32" s="6" t="n"/>
      <c r="Q32" s="6" t="n"/>
    </row>
    <row r="33">
      <c r="A33" s="6" t="n">
        <v>18</v>
      </c>
      <c r="B33" s="6" t="n"/>
      <c r="C33" s="6" t="n"/>
      <c r="D33" s="6" t="n"/>
      <c r="E33" s="6" t="n"/>
      <c r="F33" s="6" t="n"/>
      <c r="G33" s="6">
        <f>IF(D33="","",D33+90)</f>
        <v/>
      </c>
      <c r="H33" s="6" t="n"/>
      <c r="I33" s="6">
        <f>IF(H33="","",H33-D33)</f>
        <v/>
      </c>
      <c r="J33" s="6">
        <f>IF(I33="","",IF(I33&lt;=90,"Y","N"))</f>
        <v/>
      </c>
      <c r="K33" s="6" t="n"/>
      <c r="L33" s="6" t="n"/>
      <c r="M33" s="6">
        <f>IF(E33="","",E33-L33)</f>
        <v/>
      </c>
      <c r="N33" s="6" t="n"/>
      <c r="O33" s="6" t="n"/>
      <c r="P33" s="6" t="n"/>
      <c r="Q33" s="6" t="n"/>
    </row>
    <row r="34">
      <c r="A34" s="6" t="n">
        <v>19</v>
      </c>
      <c r="B34" s="6" t="n"/>
      <c r="C34" s="6" t="n"/>
      <c r="D34" s="6" t="n"/>
      <c r="E34" s="6" t="n"/>
      <c r="F34" s="6" t="n"/>
      <c r="G34" s="6">
        <f>IF(D34="","",D34+90)</f>
        <v/>
      </c>
      <c r="H34" s="6" t="n"/>
      <c r="I34" s="6">
        <f>IF(H34="","",H34-D34)</f>
        <v/>
      </c>
      <c r="J34" s="6">
        <f>IF(I34="","",IF(I34&lt;=90,"Y","N"))</f>
        <v/>
      </c>
      <c r="K34" s="6" t="n"/>
      <c r="L34" s="6" t="n"/>
      <c r="M34" s="6">
        <f>IF(E34="","",E34-L34)</f>
        <v/>
      </c>
      <c r="N34" s="6" t="n"/>
      <c r="O34" s="6" t="n"/>
      <c r="P34" s="6" t="n"/>
      <c r="Q34" s="6" t="n"/>
    </row>
    <row r="35">
      <c r="A35" s="6" t="n">
        <v>20</v>
      </c>
      <c r="B35" s="6" t="n"/>
      <c r="C35" s="6" t="n"/>
      <c r="D35" s="6" t="n"/>
      <c r="E35" s="6" t="n"/>
      <c r="F35" s="6" t="n"/>
      <c r="G35" s="6">
        <f>IF(D35="","",D35+90)</f>
        <v/>
      </c>
      <c r="H35" s="6" t="n"/>
      <c r="I35" s="6">
        <f>IF(H35="","",H35-D35)</f>
        <v/>
      </c>
      <c r="J35" s="6">
        <f>IF(I35="","",IF(I35&lt;=90,"Y","N"))</f>
        <v/>
      </c>
      <c r="K35" s="6" t="n"/>
      <c r="L35" s="6" t="n"/>
      <c r="M35" s="6">
        <f>IF(E35="","",E35-L35)</f>
        <v/>
      </c>
      <c r="N35" s="6" t="n"/>
      <c r="O35" s="6" t="n"/>
      <c r="P35" s="6" t="n"/>
      <c r="Q35" s="6" t="n"/>
    </row>
    <row r="36">
      <c r="A36" s="6" t="n">
        <v>21</v>
      </c>
      <c r="B36" s="6" t="n"/>
      <c r="C36" s="6" t="n"/>
      <c r="D36" s="6" t="n"/>
      <c r="E36" s="6" t="n"/>
      <c r="F36" s="6" t="n"/>
      <c r="G36" s="6">
        <f>IF(D36="","",D36+90)</f>
        <v/>
      </c>
      <c r="H36" s="6" t="n"/>
      <c r="I36" s="6">
        <f>IF(H36="","",H36-D36)</f>
        <v/>
      </c>
      <c r="J36" s="6">
        <f>IF(I36="","",IF(I36&lt;=90,"Y","N"))</f>
        <v/>
      </c>
      <c r="K36" s="6" t="n"/>
      <c r="L36" s="6" t="n"/>
      <c r="M36" s="6">
        <f>IF(E36="","",E36-L36)</f>
        <v/>
      </c>
      <c r="N36" s="6" t="n"/>
      <c r="O36" s="6" t="n"/>
      <c r="P36" s="6" t="n"/>
      <c r="Q36" s="6" t="n"/>
    </row>
    <row r="37">
      <c r="A37" s="6" t="n">
        <v>22</v>
      </c>
      <c r="B37" s="6" t="n"/>
      <c r="C37" s="6" t="n"/>
      <c r="D37" s="6" t="n"/>
      <c r="E37" s="6" t="n"/>
      <c r="F37" s="6" t="n"/>
      <c r="G37" s="6">
        <f>IF(D37="","",D37+90)</f>
        <v/>
      </c>
      <c r="H37" s="6" t="n"/>
      <c r="I37" s="6">
        <f>IF(H37="","",H37-D37)</f>
        <v/>
      </c>
      <c r="J37" s="6">
        <f>IF(I37="","",IF(I37&lt;=90,"Y","N"))</f>
        <v/>
      </c>
      <c r="K37" s="6" t="n"/>
      <c r="L37" s="6" t="n"/>
      <c r="M37" s="6">
        <f>IF(E37="","",E37-L37)</f>
        <v/>
      </c>
      <c r="N37" s="6" t="n"/>
      <c r="O37" s="6" t="n"/>
      <c r="P37" s="6" t="n"/>
      <c r="Q37" s="6" t="n"/>
    </row>
    <row r="38">
      <c r="A38" s="6" t="n">
        <v>23</v>
      </c>
      <c r="B38" s="6" t="n"/>
      <c r="C38" s="6" t="n"/>
      <c r="D38" s="6" t="n"/>
      <c r="E38" s="6" t="n"/>
      <c r="F38" s="6" t="n"/>
      <c r="G38" s="6">
        <f>IF(D38="","",D38+90)</f>
        <v/>
      </c>
      <c r="H38" s="6" t="n"/>
      <c r="I38" s="6">
        <f>IF(H38="","",H38-D38)</f>
        <v/>
      </c>
      <c r="J38" s="6">
        <f>IF(I38="","",IF(I38&lt;=90,"Y","N"))</f>
        <v/>
      </c>
      <c r="K38" s="6" t="n"/>
      <c r="L38" s="6" t="n"/>
      <c r="M38" s="6">
        <f>IF(E38="","",E38-L38)</f>
        <v/>
      </c>
      <c r="N38" s="6" t="n"/>
      <c r="O38" s="6" t="n"/>
      <c r="P38" s="6" t="n"/>
      <c r="Q38" s="6" t="n"/>
    </row>
    <row r="39">
      <c r="A39" s="6" t="n">
        <v>24</v>
      </c>
      <c r="B39" s="6" t="n"/>
      <c r="C39" s="6" t="n"/>
      <c r="D39" s="6" t="n"/>
      <c r="E39" s="6" t="n"/>
      <c r="F39" s="6" t="n"/>
      <c r="G39" s="6">
        <f>IF(D39="","",D39+90)</f>
        <v/>
      </c>
      <c r="H39" s="6" t="n"/>
      <c r="I39" s="6">
        <f>IF(H39="","",H39-D39)</f>
        <v/>
      </c>
      <c r="J39" s="6">
        <f>IF(I39="","",IF(I39&lt;=90,"Y","N"))</f>
        <v/>
      </c>
      <c r="K39" s="6" t="n"/>
      <c r="L39" s="6" t="n"/>
      <c r="M39" s="6">
        <f>IF(E39="","",E39-L39)</f>
        <v/>
      </c>
      <c r="N39" s="6" t="n"/>
      <c r="O39" s="6" t="n"/>
      <c r="P39" s="6" t="n"/>
      <c r="Q39" s="6" t="n"/>
    </row>
    <row r="40">
      <c r="A40" s="6" t="n">
        <v>25</v>
      </c>
      <c r="B40" s="6" t="n"/>
      <c r="C40" s="6" t="n"/>
      <c r="D40" s="6" t="n"/>
      <c r="E40" s="6" t="n"/>
      <c r="F40" s="6" t="n"/>
      <c r="G40" s="6">
        <f>IF(D40="","",D40+90)</f>
        <v/>
      </c>
      <c r="H40" s="6" t="n"/>
      <c r="I40" s="6">
        <f>IF(H40="","",H40-D40)</f>
        <v/>
      </c>
      <c r="J40" s="6">
        <f>IF(I40="","",IF(I40&lt;=90,"Y","N"))</f>
        <v/>
      </c>
      <c r="K40" s="6" t="n"/>
      <c r="L40" s="6" t="n"/>
      <c r="M40" s="6">
        <f>IF(E40="","",E40-L40)</f>
        <v/>
      </c>
      <c r="N40" s="6" t="n"/>
      <c r="O40" s="6" t="n"/>
      <c r="P40" s="6" t="n"/>
      <c r="Q40" s="6" t="n"/>
    </row>
    <row r="41">
      <c r="A41" s="6" t="n">
        <v>26</v>
      </c>
      <c r="B41" s="6" t="n"/>
      <c r="C41" s="6" t="n"/>
      <c r="D41" s="6" t="n"/>
      <c r="E41" s="6" t="n"/>
      <c r="F41" s="6" t="n"/>
      <c r="G41" s="6">
        <f>IF(D41="","",D41+90)</f>
        <v/>
      </c>
      <c r="H41" s="6" t="n"/>
      <c r="I41" s="6">
        <f>IF(H41="","",H41-D41)</f>
        <v/>
      </c>
      <c r="J41" s="6">
        <f>IF(I41="","",IF(I41&lt;=90,"Y","N"))</f>
        <v/>
      </c>
      <c r="K41" s="6" t="n"/>
      <c r="L41" s="6" t="n"/>
      <c r="M41" s="6">
        <f>IF(E41="","",E41-L41)</f>
        <v/>
      </c>
      <c r="N41" s="6" t="n"/>
      <c r="O41" s="6" t="n"/>
      <c r="P41" s="6" t="n"/>
      <c r="Q41" s="6" t="n"/>
    </row>
    <row r="42">
      <c r="A42" s="6" t="n">
        <v>27</v>
      </c>
      <c r="B42" s="6" t="n"/>
      <c r="C42" s="6" t="n"/>
      <c r="D42" s="6" t="n"/>
      <c r="E42" s="6" t="n"/>
      <c r="F42" s="6" t="n"/>
      <c r="G42" s="6">
        <f>IF(D42="","",D42+90)</f>
        <v/>
      </c>
      <c r="H42" s="6" t="n"/>
      <c r="I42" s="6">
        <f>IF(H42="","",H42-D42)</f>
        <v/>
      </c>
      <c r="J42" s="6">
        <f>IF(I42="","",IF(I42&lt;=90,"Y","N"))</f>
        <v/>
      </c>
      <c r="K42" s="6" t="n"/>
      <c r="L42" s="6" t="n"/>
      <c r="M42" s="6">
        <f>IF(E42="","",E42-L42)</f>
        <v/>
      </c>
      <c r="N42" s="6" t="n"/>
      <c r="O42" s="6" t="n"/>
      <c r="P42" s="6" t="n"/>
      <c r="Q42" s="6" t="n"/>
    </row>
    <row r="43">
      <c r="A43" s="6" t="n">
        <v>28</v>
      </c>
      <c r="B43" s="6" t="n"/>
      <c r="C43" s="6" t="n"/>
      <c r="D43" s="6" t="n"/>
      <c r="E43" s="6" t="n"/>
      <c r="F43" s="6" t="n"/>
      <c r="G43" s="6">
        <f>IF(D43="","",D43+90)</f>
        <v/>
      </c>
      <c r="H43" s="6" t="n"/>
      <c r="I43" s="6">
        <f>IF(H43="","",H43-D43)</f>
        <v/>
      </c>
      <c r="J43" s="6">
        <f>IF(I43="","",IF(I43&lt;=90,"Y","N"))</f>
        <v/>
      </c>
      <c r="K43" s="6" t="n"/>
      <c r="L43" s="6" t="n"/>
      <c r="M43" s="6">
        <f>IF(E43="","",E43-L43)</f>
        <v/>
      </c>
      <c r="N43" s="6" t="n"/>
      <c r="O43" s="6" t="n"/>
      <c r="P43" s="6" t="n"/>
      <c r="Q43" s="6" t="n"/>
    </row>
    <row r="44">
      <c r="A44" s="6" t="n">
        <v>29</v>
      </c>
      <c r="B44" s="6" t="n"/>
      <c r="C44" s="6" t="n"/>
      <c r="D44" s="6" t="n"/>
      <c r="E44" s="6" t="n"/>
      <c r="F44" s="6" t="n"/>
      <c r="G44" s="6">
        <f>IF(D44="","",D44+90)</f>
        <v/>
      </c>
      <c r="H44" s="6" t="n"/>
      <c r="I44" s="6">
        <f>IF(H44="","",H44-D44)</f>
        <v/>
      </c>
      <c r="J44" s="6">
        <f>IF(I44="","",IF(I44&lt;=90,"Y","N"))</f>
        <v/>
      </c>
      <c r="K44" s="6" t="n"/>
      <c r="L44" s="6" t="n"/>
      <c r="M44" s="6">
        <f>IF(E44="","",E44-L44)</f>
        <v/>
      </c>
      <c r="N44" s="6" t="n"/>
      <c r="O44" s="6" t="n"/>
      <c r="P44" s="6" t="n"/>
      <c r="Q44" s="6" t="n"/>
    </row>
    <row r="45">
      <c r="A45" s="6" t="n">
        <v>30</v>
      </c>
      <c r="B45" s="6" t="n"/>
      <c r="C45" s="6" t="n"/>
      <c r="D45" s="6" t="n"/>
      <c r="E45" s="6" t="n"/>
      <c r="F45" s="6" t="n"/>
      <c r="G45" s="6">
        <f>IF(D45="","",D45+90)</f>
        <v/>
      </c>
      <c r="H45" s="6" t="n"/>
      <c r="I45" s="6">
        <f>IF(H45="","",H45-D45)</f>
        <v/>
      </c>
      <c r="J45" s="6">
        <f>IF(I45="","",IF(I45&lt;=90,"Y","N"))</f>
        <v/>
      </c>
      <c r="K45" s="6" t="n"/>
      <c r="L45" s="6" t="n"/>
      <c r="M45" s="6">
        <f>IF(E45="","",E45-L45)</f>
        <v/>
      </c>
      <c r="N45" s="6" t="n"/>
      <c r="O45" s="6" t="n"/>
      <c r="P45" s="6" t="n"/>
      <c r="Q45" s="6" t="n"/>
    </row>
    <row r="46">
      <c r="A46" s="6" t="n">
        <v>31</v>
      </c>
      <c r="B46" s="6" t="n"/>
      <c r="C46" s="6" t="n"/>
      <c r="D46" s="6" t="n"/>
      <c r="E46" s="6" t="n"/>
      <c r="F46" s="6" t="n"/>
      <c r="G46" s="6">
        <f>IF(D46="","",D46+90)</f>
        <v/>
      </c>
      <c r="H46" s="6" t="n"/>
      <c r="I46" s="6">
        <f>IF(H46="","",H46-D46)</f>
        <v/>
      </c>
      <c r="J46" s="6">
        <f>IF(I46="","",IF(I46&lt;=90,"Y","N"))</f>
        <v/>
      </c>
      <c r="K46" s="6" t="n"/>
      <c r="L46" s="6" t="n"/>
      <c r="M46" s="6">
        <f>IF(E46="","",E46-L46)</f>
        <v/>
      </c>
      <c r="N46" s="6" t="n"/>
      <c r="O46" s="6" t="n"/>
      <c r="P46" s="6" t="n"/>
      <c r="Q46" s="6" t="n"/>
    </row>
    <row r="47">
      <c r="A47" s="6" t="n">
        <v>32</v>
      </c>
      <c r="B47" s="6" t="n"/>
      <c r="C47" s="6" t="n"/>
      <c r="D47" s="6" t="n"/>
      <c r="E47" s="6" t="n"/>
      <c r="F47" s="6" t="n"/>
      <c r="G47" s="6">
        <f>IF(D47="","",D47+90)</f>
        <v/>
      </c>
      <c r="H47" s="6" t="n"/>
      <c r="I47" s="6">
        <f>IF(H47="","",H47-D47)</f>
        <v/>
      </c>
      <c r="J47" s="6">
        <f>IF(I47="","",IF(I47&lt;=90,"Y","N"))</f>
        <v/>
      </c>
      <c r="K47" s="6" t="n"/>
      <c r="L47" s="6" t="n"/>
      <c r="M47" s="6">
        <f>IF(E47="","",E47-L47)</f>
        <v/>
      </c>
      <c r="N47" s="6" t="n"/>
      <c r="O47" s="6" t="n"/>
      <c r="P47" s="6" t="n"/>
      <c r="Q47" s="6" t="n"/>
    </row>
    <row r="48">
      <c r="A48" s="6" t="n">
        <v>33</v>
      </c>
      <c r="B48" s="6" t="n"/>
      <c r="C48" s="6" t="n"/>
      <c r="D48" s="6" t="n"/>
      <c r="E48" s="6" t="n"/>
      <c r="F48" s="6" t="n"/>
      <c r="G48" s="6">
        <f>IF(D48="","",D48+90)</f>
        <v/>
      </c>
      <c r="H48" s="6" t="n"/>
      <c r="I48" s="6">
        <f>IF(H48="","",H48-D48)</f>
        <v/>
      </c>
      <c r="J48" s="6">
        <f>IF(I48="","",IF(I48&lt;=90,"Y","N"))</f>
        <v/>
      </c>
      <c r="K48" s="6" t="n"/>
      <c r="L48" s="6" t="n"/>
      <c r="M48" s="6">
        <f>IF(E48="","",E48-L48)</f>
        <v/>
      </c>
      <c r="N48" s="6" t="n"/>
      <c r="O48" s="6" t="n"/>
      <c r="P48" s="6" t="n"/>
      <c r="Q48" s="6" t="n"/>
    </row>
    <row r="50">
      <c r="A50" s="7" t="inlineStr">
        <is>
          <t>Summary for Certificate</t>
        </is>
      </c>
    </row>
    <row r="51">
      <c r="A51" s="6" t="inlineStr">
        <is>
          <t>Total Outstanding as at 31 Dec 2025 (A)</t>
        </is>
      </c>
      <c r="B51" s="6" t="n">
        <v>1435719236</v>
      </c>
      <c r="C51" s="6">
        <f>SUM(E14:E10000) - Cross check</f>
        <v/>
      </c>
      <c r="D51" s="6" t="inlineStr"/>
    </row>
    <row r="52">
      <c r="A52" s="6" t="inlineStr">
        <is>
          <t>Subsequently Realized in Cash/Bank within grace (B)</t>
        </is>
      </c>
      <c r="B52" s="6" t="inlineStr"/>
      <c r="C52" s="6">
        <f>SUMIF(K14:K10000,"Bank",L14:L10000)+SUMIF(K14:K10000,"Cash",L14:L10000)</f>
        <v/>
      </c>
      <c r="D52" s="6" t="inlineStr"/>
    </row>
    <row r="53">
      <c r="A53" s="6" t="inlineStr">
        <is>
          <t>Adjusted via Auto Policy Loan (C)</t>
        </is>
      </c>
      <c r="B53" s="6" t="inlineStr"/>
      <c r="C53" s="6">
        <f>SUMIF(K14:K10000,"Policy Loan",L14:L10000)</f>
        <v/>
      </c>
      <c r="D53" s="6" t="inlineStr"/>
    </row>
    <row r="54">
      <c r="A54" s="6" t="inlineStr">
        <is>
          <t>Adjusted via Auto Surrender (D)</t>
        </is>
      </c>
      <c r="B54" s="6" t="inlineStr"/>
      <c r="C54" s="6">
        <f>SUMIF(K14:K10000,"Surrender",L14:L10000)</f>
        <v/>
      </c>
      <c r="D54" s="6" t="inlineStr"/>
    </row>
    <row r="55">
      <c r="A55" s="6" t="inlineStr">
        <is>
          <t>Total Realized/Adjusted (E) = B+C+D</t>
        </is>
      </c>
      <c r="B55" s="6" t="inlineStr"/>
      <c r="C55" s="6">
        <f>B{r-3}+B{r-2}+B{r-1}</f>
        <v/>
      </c>
      <c r="D55" s="6" t="inlineStr">
        <is>
          <t>Must equal A for certificate</t>
        </is>
      </c>
    </row>
    <row r="56">
      <c r="A56" s="6" t="inlineStr">
        <is>
          <t>Balance Un-realized / Un-adjusted (F) = A-E</t>
        </is>
      </c>
      <c r="B56" s="6" t="inlineStr"/>
      <c r="C56" s="6">
        <f>B{r-4}-B{r-1}</f>
        <v/>
      </c>
      <c r="D56" s="6" t="inlineStr">
        <is>
          <t>Must be ZERO</t>
        </is>
      </c>
    </row>
    <row r="57">
      <c r="A57" s="6" t="inlineStr">
        <is>
          <t>% Realized</t>
        </is>
      </c>
      <c r="B57" s="6" t="inlineStr"/>
      <c r="C57" s="6">
        <f>B{r-2}/B{r-5}</f>
        <v/>
      </c>
      <c r="D57" s="6" t="inlineStr"/>
    </row>
    <row r="58">
      <c r="A58" s="6" t="inlineStr">
        <is>
          <t>Certificate Can Be Issued? (Yes if F=0 and all within 90 days)</t>
        </is>
      </c>
      <c r="B58" s="6" t="inlineStr"/>
      <c r="C58" s="6">
        <f>IF(AND(B{r-2}=0,COUNTIF(J14:J10000,"N")=0),"YES - Can Issue","NO - Investigate")</f>
        <v/>
      </c>
      <c r="D58" s="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cols>
    <col width="15" customWidth="1" min="1" max="1"/>
    <col width="18"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Testing of Auto Policy Loan and Auto Surrender Logic</t>
        </is>
      </c>
    </row>
    <row r="11">
      <c r="A11" s="4" t="inlineStr">
        <is>
          <t>Purpose: To verify system automatically creates loan or surrenders policy on last day of grace if premium unpaid</t>
        </is>
      </c>
    </row>
    <row r="13">
      <c r="A13" s="9" t="inlineStr">
        <is>
          <t>Sl</t>
        </is>
      </c>
      <c r="B13" s="9" t="inlineStr">
        <is>
          <t>Policy No</t>
        </is>
      </c>
      <c r="C13" s="9" t="inlineStr">
        <is>
          <t>Due Date</t>
        </is>
      </c>
      <c r="D13" s="9" t="inlineStr">
        <is>
          <t>Grace End Date</t>
        </is>
      </c>
      <c r="E13" s="9" t="inlineStr">
        <is>
          <t>Cash Value as at Grace End (BDT)</t>
        </is>
      </c>
      <c r="F13" s="9" t="inlineStr">
        <is>
          <t>Existing Policy Loan (BDT)</t>
        </is>
      </c>
      <c r="G13" s="9" t="inlineStr">
        <is>
          <t>Net Cash Value Available (=Cash - Existing Loan)</t>
        </is>
      </c>
      <c r="H13" s="9" t="inlineStr">
        <is>
          <t>Sufficient for Outstanding? (Y/N)</t>
        </is>
      </c>
      <c r="I13" s="9" t="inlineStr">
        <is>
          <t>Outstanding Premium (BDT)</t>
        </is>
      </c>
      <c r="J13" s="9" t="inlineStr">
        <is>
          <t>Expected System Action (Loan/Surrender)</t>
        </is>
      </c>
      <c r="K13" s="9" t="inlineStr">
        <is>
          <t>Actual System Action (Per System)</t>
        </is>
      </c>
      <c r="L13" s="9" t="inlineStr">
        <is>
          <t>Action Date (Should = Grace End)</t>
        </is>
      </c>
      <c r="M13" s="9" t="inlineStr">
        <is>
          <t>Loan No / Surrender No</t>
        </is>
      </c>
      <c r="N13" s="9" t="inlineStr">
        <is>
          <t>Loan Amount Created (BDT)</t>
        </is>
      </c>
      <c r="O13" s="9" t="inlineStr">
        <is>
          <t>Loan Interest Rate (%)</t>
        </is>
      </c>
      <c r="P13" s="9" t="inlineStr">
        <is>
          <t>Outstanding Reversed? (Y/N)</t>
        </is>
      </c>
      <c r="Q13" s="9" t="inlineStr">
        <is>
          <t>Policy Status After Action</t>
        </is>
      </c>
      <c r="R13" s="9" t="inlineStr">
        <is>
          <t>Verified with Loan Ledger / Surrender Register?</t>
        </is>
      </c>
      <c r="S13" s="9" t="inlineStr">
        <is>
          <t>Exception (Y/N)</t>
        </is>
      </c>
      <c r="T13" s="9" t="inlineStr">
        <is>
          <t>Remarks</t>
        </is>
      </c>
    </row>
    <row r="14">
      <c r="A14" s="6" t="n">
        <v>1</v>
      </c>
      <c r="B14" s="6" t="inlineStr">
        <is>
          <t>POL87654321</t>
        </is>
      </c>
      <c r="C14" s="6" t="inlineStr">
        <is>
          <t>2025-11-20</t>
        </is>
      </c>
      <c r="D14" s="12">
        <f>C14+90</f>
        <v/>
      </c>
      <c r="E14" s="6" t="n">
        <v>100000</v>
      </c>
      <c r="F14" s="6" t="n">
        <v>20000</v>
      </c>
      <c r="G14" s="6">
        <f>E14-F14</f>
        <v/>
      </c>
      <c r="H14" s="6">
        <f>IF(G14&gt;=I14,"Y","N")</f>
        <v/>
      </c>
      <c r="I14" s="6" t="n">
        <v>25000</v>
      </c>
      <c r="J14" s="6" t="inlineStr">
        <is>
          <t>Loan</t>
        </is>
      </c>
      <c r="K14" s="6" t="inlineStr">
        <is>
          <t>Loan</t>
        </is>
      </c>
      <c r="L14" s="6" t="inlineStr"/>
      <c r="M14" s="6" t="inlineStr">
        <is>
          <t>LN-001</t>
        </is>
      </c>
      <c r="N14" s="6" t="n">
        <v>25000</v>
      </c>
      <c r="O14" s="6" t="n">
        <v>8</v>
      </c>
      <c r="P14" s="6" t="inlineStr">
        <is>
          <t>Y</t>
        </is>
      </c>
      <c r="Q14" s="6" t="inlineStr">
        <is>
          <t>In-force</t>
        </is>
      </c>
      <c r="R14" s="6" t="inlineStr">
        <is>
          <t>Y</t>
        </is>
      </c>
      <c r="S14" s="6" t="inlineStr">
        <is>
          <t>N</t>
        </is>
      </c>
      <c r="T14" s="6" t="inlineStr"/>
    </row>
    <row r="15">
      <c r="A15" s="6" t="n">
        <v>2</v>
      </c>
      <c r="B15" s="6" t="inlineStr">
        <is>
          <t>POL11223344</t>
        </is>
      </c>
      <c r="C15" s="6" t="inlineStr">
        <is>
          <t>2025-12-10</t>
        </is>
      </c>
      <c r="D15" s="12">
        <f>C15+90</f>
        <v/>
      </c>
      <c r="E15" s="6" t="n">
        <v>0</v>
      </c>
      <c r="F15" s="6" t="n">
        <v>0</v>
      </c>
      <c r="G15" s="6">
        <f>E15-F15</f>
        <v/>
      </c>
      <c r="H15" s="6">
        <f>IF(G15&gt;=I15,"Y","N")</f>
        <v/>
      </c>
      <c r="I15" s="6" t="n">
        <v>100000</v>
      </c>
      <c r="J15" s="6" t="inlineStr">
        <is>
          <t>Surrender</t>
        </is>
      </c>
      <c r="K15" s="6" t="inlineStr">
        <is>
          <t>Surrender</t>
        </is>
      </c>
      <c r="L15" s="6" t="inlineStr"/>
      <c r="M15" s="6" t="inlineStr">
        <is>
          <t>Surr-003</t>
        </is>
      </c>
      <c r="N15" s="6" t="n">
        <v>0</v>
      </c>
      <c r="O15" s="6" t="inlineStr"/>
      <c r="P15" s="6" t="inlineStr">
        <is>
          <t>Y</t>
        </is>
      </c>
      <c r="Q15" s="6" t="inlineStr">
        <is>
          <t>Surrendered</t>
        </is>
      </c>
      <c r="R15" s="6" t="inlineStr">
        <is>
          <t>Y</t>
        </is>
      </c>
      <c r="S15" s="6" t="inlineStr">
        <is>
          <t>N</t>
        </is>
      </c>
      <c r="T15" s="6" t="inlineStr"/>
    </row>
    <row r="16">
      <c r="A16" s="6" t="n">
        <v>3</v>
      </c>
      <c r="B16" s="6" t="n"/>
      <c r="C16" s="6" t="n"/>
      <c r="D16" s="6">
        <f>IF(C16="","",C16+90)</f>
        <v/>
      </c>
      <c r="E16" s="6" t="n"/>
      <c r="F16" s="6" t="n"/>
      <c r="G16" s="6">
        <f>IF(E16="","",E16-F16)</f>
        <v/>
      </c>
      <c r="H16" s="6">
        <f>IF(OR(G16="",I16=""),"",IF(G16&gt;=I16,"Y","N"))</f>
        <v/>
      </c>
      <c r="I16" s="6" t="n"/>
      <c r="J16" s="6" t="n"/>
      <c r="K16" s="6" t="n"/>
      <c r="L16" s="6" t="n"/>
      <c r="M16" s="6" t="n"/>
      <c r="N16" s="6" t="n"/>
      <c r="O16" s="6" t="n"/>
      <c r="P16" s="6" t="n"/>
      <c r="Q16" s="6" t="n"/>
      <c r="R16" s="6" t="n"/>
      <c r="S16" s="6" t="n"/>
      <c r="T16" s="6" t="n"/>
    </row>
    <row r="17">
      <c r="A17" s="6" t="n">
        <v>4</v>
      </c>
      <c r="B17" s="6" t="n"/>
      <c r="C17" s="6" t="n"/>
      <c r="D17" s="6">
        <f>IF(C17="","",C17+90)</f>
        <v/>
      </c>
      <c r="E17" s="6" t="n"/>
      <c r="F17" s="6" t="n"/>
      <c r="G17" s="6">
        <f>IF(E17="","",E17-F17)</f>
        <v/>
      </c>
      <c r="H17" s="6">
        <f>IF(OR(G17="",I17=""),"",IF(G17&gt;=I17,"Y","N"))</f>
        <v/>
      </c>
      <c r="I17" s="6" t="n"/>
      <c r="J17" s="6" t="n"/>
      <c r="K17" s="6" t="n"/>
      <c r="L17" s="6" t="n"/>
      <c r="M17" s="6" t="n"/>
      <c r="N17" s="6" t="n"/>
      <c r="O17" s="6" t="n"/>
      <c r="P17" s="6" t="n"/>
      <c r="Q17" s="6" t="n"/>
      <c r="R17" s="6" t="n"/>
      <c r="S17" s="6" t="n"/>
      <c r="T17" s="6" t="n"/>
    </row>
    <row r="18">
      <c r="A18" s="6" t="n">
        <v>5</v>
      </c>
      <c r="B18" s="6" t="n"/>
      <c r="C18" s="6" t="n"/>
      <c r="D18" s="6">
        <f>IF(C18="","",C18+90)</f>
        <v/>
      </c>
      <c r="E18" s="6" t="n"/>
      <c r="F18" s="6" t="n"/>
      <c r="G18" s="6">
        <f>IF(E18="","",E18-F18)</f>
        <v/>
      </c>
      <c r="H18" s="6">
        <f>IF(OR(G18="",I18=""),"",IF(G18&gt;=I18,"Y","N"))</f>
        <v/>
      </c>
      <c r="I18" s="6" t="n"/>
      <c r="J18" s="6" t="n"/>
      <c r="K18" s="6" t="n"/>
      <c r="L18" s="6" t="n"/>
      <c r="M18" s="6" t="n"/>
      <c r="N18" s="6" t="n"/>
      <c r="O18" s="6" t="n"/>
      <c r="P18" s="6" t="n"/>
      <c r="Q18" s="6" t="n"/>
      <c r="R18" s="6" t="n"/>
      <c r="S18" s="6" t="n"/>
      <c r="T18" s="6" t="n"/>
    </row>
    <row r="19">
      <c r="A19" s="6" t="n">
        <v>6</v>
      </c>
      <c r="B19" s="6" t="n"/>
      <c r="C19" s="6" t="n"/>
      <c r="D19" s="6">
        <f>IF(C19="","",C19+90)</f>
        <v/>
      </c>
      <c r="E19" s="6" t="n"/>
      <c r="F19" s="6" t="n"/>
      <c r="G19" s="6">
        <f>IF(E19="","",E19-F19)</f>
        <v/>
      </c>
      <c r="H19" s="6">
        <f>IF(OR(G19="",I19=""),"",IF(G19&gt;=I19,"Y","N"))</f>
        <v/>
      </c>
      <c r="I19" s="6" t="n"/>
      <c r="J19" s="6" t="n"/>
      <c r="K19" s="6" t="n"/>
      <c r="L19" s="6" t="n"/>
      <c r="M19" s="6" t="n"/>
      <c r="N19" s="6" t="n"/>
      <c r="O19" s="6" t="n"/>
      <c r="P19" s="6" t="n"/>
      <c r="Q19" s="6" t="n"/>
      <c r="R19" s="6" t="n"/>
      <c r="S19" s="6" t="n"/>
      <c r="T19" s="6" t="n"/>
    </row>
    <row r="20">
      <c r="A20" s="6" t="n">
        <v>7</v>
      </c>
      <c r="B20" s="6" t="n"/>
      <c r="C20" s="6" t="n"/>
      <c r="D20" s="6">
        <f>IF(C20="","",C20+90)</f>
        <v/>
      </c>
      <c r="E20" s="6" t="n"/>
      <c r="F20" s="6" t="n"/>
      <c r="G20" s="6">
        <f>IF(E20="","",E20-F20)</f>
        <v/>
      </c>
      <c r="H20" s="6">
        <f>IF(OR(G20="",I20=""),"",IF(G20&gt;=I20,"Y","N"))</f>
        <v/>
      </c>
      <c r="I20" s="6" t="n"/>
      <c r="J20" s="6" t="n"/>
      <c r="K20" s="6" t="n"/>
      <c r="L20" s="6" t="n"/>
      <c r="M20" s="6" t="n"/>
      <c r="N20" s="6" t="n"/>
      <c r="O20" s="6" t="n"/>
      <c r="P20" s="6" t="n"/>
      <c r="Q20" s="6" t="n"/>
      <c r="R20" s="6" t="n"/>
      <c r="S20" s="6" t="n"/>
      <c r="T20" s="6" t="n"/>
    </row>
    <row r="21">
      <c r="A21" s="6" t="n">
        <v>8</v>
      </c>
      <c r="B21" s="6" t="n"/>
      <c r="C21" s="6" t="n"/>
      <c r="D21" s="6">
        <f>IF(C21="","",C21+90)</f>
        <v/>
      </c>
      <c r="E21" s="6" t="n"/>
      <c r="F21" s="6" t="n"/>
      <c r="G21" s="6">
        <f>IF(E21="","",E21-F21)</f>
        <v/>
      </c>
      <c r="H21" s="6">
        <f>IF(OR(G21="",I21=""),"",IF(G21&gt;=I21,"Y","N"))</f>
        <v/>
      </c>
      <c r="I21" s="6" t="n"/>
      <c r="J21" s="6" t="n"/>
      <c r="K21" s="6" t="n"/>
      <c r="L21" s="6" t="n"/>
      <c r="M21" s="6" t="n"/>
      <c r="N21" s="6" t="n"/>
      <c r="O21" s="6" t="n"/>
      <c r="P21" s="6" t="n"/>
      <c r="Q21" s="6" t="n"/>
      <c r="R21" s="6" t="n"/>
      <c r="S21" s="6" t="n"/>
      <c r="T21" s="6" t="n"/>
    </row>
    <row r="22">
      <c r="A22" s="6" t="n">
        <v>9</v>
      </c>
      <c r="B22" s="6" t="n"/>
      <c r="C22" s="6" t="n"/>
      <c r="D22" s="6">
        <f>IF(C22="","",C22+90)</f>
        <v/>
      </c>
      <c r="E22" s="6" t="n"/>
      <c r="F22" s="6" t="n"/>
      <c r="G22" s="6">
        <f>IF(E22="","",E22-F22)</f>
        <v/>
      </c>
      <c r="H22" s="6">
        <f>IF(OR(G22="",I22=""),"",IF(G22&gt;=I22,"Y","N"))</f>
        <v/>
      </c>
      <c r="I22" s="6" t="n"/>
      <c r="J22" s="6" t="n"/>
      <c r="K22" s="6" t="n"/>
      <c r="L22" s="6" t="n"/>
      <c r="M22" s="6" t="n"/>
      <c r="N22" s="6" t="n"/>
      <c r="O22" s="6" t="n"/>
      <c r="P22" s="6" t="n"/>
      <c r="Q22" s="6" t="n"/>
      <c r="R22" s="6" t="n"/>
      <c r="S22" s="6" t="n"/>
      <c r="T22" s="6" t="n"/>
    </row>
    <row r="23">
      <c r="A23" s="6" t="n">
        <v>10</v>
      </c>
      <c r="B23" s="6" t="n"/>
      <c r="C23" s="6" t="n"/>
      <c r="D23" s="6">
        <f>IF(C23="","",C23+90)</f>
        <v/>
      </c>
      <c r="E23" s="6" t="n"/>
      <c r="F23" s="6" t="n"/>
      <c r="G23" s="6">
        <f>IF(E23="","",E23-F23)</f>
        <v/>
      </c>
      <c r="H23" s="6">
        <f>IF(OR(G23="",I23=""),"",IF(G23&gt;=I23,"Y","N"))</f>
        <v/>
      </c>
      <c r="I23" s="6" t="n"/>
      <c r="J23" s="6" t="n"/>
      <c r="K23" s="6" t="n"/>
      <c r="L23" s="6" t="n"/>
      <c r="M23" s="6" t="n"/>
      <c r="N23" s="6" t="n"/>
      <c r="O23" s="6" t="n"/>
      <c r="P23" s="6" t="n"/>
      <c r="Q23" s="6" t="n"/>
      <c r="R23" s="6" t="n"/>
      <c r="S23" s="6" t="n"/>
      <c r="T23" s="6" t="n"/>
    </row>
    <row r="24">
      <c r="A24" s="6" t="n">
        <v>11</v>
      </c>
      <c r="B24" s="6" t="n"/>
      <c r="C24" s="6" t="n"/>
      <c r="D24" s="6">
        <f>IF(C24="","",C24+90)</f>
        <v/>
      </c>
      <c r="E24" s="6" t="n"/>
      <c r="F24" s="6" t="n"/>
      <c r="G24" s="6">
        <f>IF(E24="","",E24-F24)</f>
        <v/>
      </c>
      <c r="H24" s="6">
        <f>IF(OR(G24="",I24=""),"",IF(G24&gt;=I24,"Y","N"))</f>
        <v/>
      </c>
      <c r="I24" s="6" t="n"/>
      <c r="J24" s="6" t="n"/>
      <c r="K24" s="6" t="n"/>
      <c r="L24" s="6" t="n"/>
      <c r="M24" s="6" t="n"/>
      <c r="N24" s="6" t="n"/>
      <c r="O24" s="6" t="n"/>
      <c r="P24" s="6" t="n"/>
      <c r="Q24" s="6" t="n"/>
      <c r="R24" s="6" t="n"/>
      <c r="S24" s="6" t="n"/>
      <c r="T24" s="6" t="n"/>
    </row>
    <row r="25">
      <c r="A25" s="6" t="n">
        <v>12</v>
      </c>
      <c r="B25" s="6" t="n"/>
      <c r="C25" s="6" t="n"/>
      <c r="D25" s="6">
        <f>IF(C25="","",C25+90)</f>
        <v/>
      </c>
      <c r="E25" s="6" t="n"/>
      <c r="F25" s="6" t="n"/>
      <c r="G25" s="6">
        <f>IF(E25="","",E25-F25)</f>
        <v/>
      </c>
      <c r="H25" s="6">
        <f>IF(OR(G25="",I25=""),"",IF(G25&gt;=I25,"Y","N"))</f>
        <v/>
      </c>
      <c r="I25" s="6" t="n"/>
      <c r="J25" s="6" t="n"/>
      <c r="K25" s="6" t="n"/>
      <c r="L25" s="6" t="n"/>
      <c r="M25" s="6" t="n"/>
      <c r="N25" s="6" t="n"/>
      <c r="O25" s="6" t="n"/>
      <c r="P25" s="6" t="n"/>
      <c r="Q25" s="6" t="n"/>
      <c r="R25" s="6" t="n"/>
      <c r="S25" s="6" t="n"/>
      <c r="T25" s="6" t="n"/>
    </row>
    <row r="26">
      <c r="A26" s="6" t="n">
        <v>13</v>
      </c>
      <c r="B26" s="6" t="n"/>
      <c r="C26" s="6" t="n"/>
      <c r="D26" s="6">
        <f>IF(C26="","",C26+90)</f>
        <v/>
      </c>
      <c r="E26" s="6" t="n"/>
      <c r="F26" s="6" t="n"/>
      <c r="G26" s="6">
        <f>IF(E26="","",E26-F26)</f>
        <v/>
      </c>
      <c r="H26" s="6">
        <f>IF(OR(G26="",I26=""),"",IF(G26&gt;=I26,"Y","N"))</f>
        <v/>
      </c>
      <c r="I26" s="6" t="n"/>
      <c r="J26" s="6" t="n"/>
      <c r="K26" s="6" t="n"/>
      <c r="L26" s="6" t="n"/>
      <c r="M26" s="6" t="n"/>
      <c r="N26" s="6" t="n"/>
      <c r="O26" s="6" t="n"/>
      <c r="P26" s="6" t="n"/>
      <c r="Q26" s="6" t="n"/>
      <c r="R26" s="6" t="n"/>
      <c r="S26" s="6" t="n"/>
      <c r="T26" s="6" t="n"/>
    </row>
    <row r="27">
      <c r="A27" s="6" t="n">
        <v>14</v>
      </c>
      <c r="B27" s="6" t="n"/>
      <c r="C27" s="6" t="n"/>
      <c r="D27" s="6">
        <f>IF(C27="","",C27+90)</f>
        <v/>
      </c>
      <c r="E27" s="6" t="n"/>
      <c r="F27" s="6" t="n"/>
      <c r="G27" s="6">
        <f>IF(E27="","",E27-F27)</f>
        <v/>
      </c>
      <c r="H27" s="6">
        <f>IF(OR(G27="",I27=""),"",IF(G27&gt;=I27,"Y","N"))</f>
        <v/>
      </c>
      <c r="I27" s="6" t="n"/>
      <c r="J27" s="6" t="n"/>
      <c r="K27" s="6" t="n"/>
      <c r="L27" s="6" t="n"/>
      <c r="M27" s="6" t="n"/>
      <c r="N27" s="6" t="n"/>
      <c r="O27" s="6" t="n"/>
      <c r="P27" s="6" t="n"/>
      <c r="Q27" s="6" t="n"/>
      <c r="R27" s="6" t="n"/>
      <c r="S27" s="6" t="n"/>
      <c r="T27" s="6" t="n"/>
    </row>
    <row r="28">
      <c r="A28" s="6" t="n">
        <v>15</v>
      </c>
      <c r="B28" s="6" t="n"/>
      <c r="C28" s="6" t="n"/>
      <c r="D28" s="6">
        <f>IF(C28="","",C28+90)</f>
        <v/>
      </c>
      <c r="E28" s="6" t="n"/>
      <c r="F28" s="6" t="n"/>
      <c r="G28" s="6">
        <f>IF(E28="","",E28-F28)</f>
        <v/>
      </c>
      <c r="H28" s="6">
        <f>IF(OR(G28="",I28=""),"",IF(G28&gt;=I28,"Y","N"))</f>
        <v/>
      </c>
      <c r="I28" s="6" t="n"/>
      <c r="J28" s="6" t="n"/>
      <c r="K28" s="6" t="n"/>
      <c r="L28" s="6" t="n"/>
      <c r="M28" s="6" t="n"/>
      <c r="N28" s="6" t="n"/>
      <c r="O28" s="6" t="n"/>
      <c r="P28" s="6" t="n"/>
      <c r="Q28" s="6" t="n"/>
      <c r="R28" s="6" t="n"/>
      <c r="S28" s="6" t="n"/>
      <c r="T28" s="6" t="n"/>
    </row>
    <row r="29">
      <c r="A29" s="6" t="n">
        <v>16</v>
      </c>
      <c r="B29" s="6" t="n"/>
      <c r="C29" s="6" t="n"/>
      <c r="D29" s="6">
        <f>IF(C29="","",C29+90)</f>
        <v/>
      </c>
      <c r="E29" s="6" t="n"/>
      <c r="F29" s="6" t="n"/>
      <c r="G29" s="6">
        <f>IF(E29="","",E29-F29)</f>
        <v/>
      </c>
      <c r="H29" s="6">
        <f>IF(OR(G29="",I29=""),"",IF(G29&gt;=I29,"Y","N"))</f>
        <v/>
      </c>
      <c r="I29" s="6" t="n"/>
      <c r="J29" s="6" t="n"/>
      <c r="K29" s="6" t="n"/>
      <c r="L29" s="6" t="n"/>
      <c r="M29" s="6" t="n"/>
      <c r="N29" s="6" t="n"/>
      <c r="O29" s="6" t="n"/>
      <c r="P29" s="6" t="n"/>
      <c r="Q29" s="6" t="n"/>
      <c r="R29" s="6" t="n"/>
      <c r="S29" s="6" t="n"/>
      <c r="T29" s="6" t="n"/>
    </row>
    <row r="30">
      <c r="A30" s="6" t="n">
        <v>17</v>
      </c>
      <c r="B30" s="6" t="n"/>
      <c r="C30" s="6" t="n"/>
      <c r="D30" s="6">
        <f>IF(C30="","",C30+90)</f>
        <v/>
      </c>
      <c r="E30" s="6" t="n"/>
      <c r="F30" s="6" t="n"/>
      <c r="G30" s="6">
        <f>IF(E30="","",E30-F30)</f>
        <v/>
      </c>
      <c r="H30" s="6">
        <f>IF(OR(G30="",I30=""),"",IF(G30&gt;=I30,"Y","N"))</f>
        <v/>
      </c>
      <c r="I30" s="6" t="n"/>
      <c r="J30" s="6" t="n"/>
      <c r="K30" s="6" t="n"/>
      <c r="L30" s="6" t="n"/>
      <c r="M30" s="6" t="n"/>
      <c r="N30" s="6" t="n"/>
      <c r="O30" s="6" t="n"/>
      <c r="P30" s="6" t="n"/>
      <c r="Q30" s="6" t="n"/>
      <c r="R30" s="6" t="n"/>
      <c r="S30" s="6" t="n"/>
      <c r="T30" s="6"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 width="30" customWidth="1" min="7" max="7"/>
    <col width="20" customWidth="1" min="8" max="8"/>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Cut-off Testing and Analytical Procedures</t>
        </is>
      </c>
    </row>
    <row r="11">
      <c r="A11" s="4" t="inlineStr">
        <is>
          <t>Purpose: To ensure correct period cut-off and perform analytical review</t>
        </is>
      </c>
    </row>
    <row r="13">
      <c r="A13" s="7" t="inlineStr">
        <is>
          <t>A. Cut-off Testing (15 days before and after year end)</t>
        </is>
      </c>
    </row>
    <row r="14">
      <c r="A14" s="9" t="inlineStr">
        <is>
          <t>Sl</t>
        </is>
      </c>
      <c r="B14" s="9" t="inlineStr">
        <is>
          <t>Policy No</t>
        </is>
      </c>
      <c r="C14" s="9" t="inlineStr">
        <is>
          <t>Premium Due Date</t>
        </is>
      </c>
      <c r="D14" s="9" t="inlineStr">
        <is>
          <t>Should be Included in 31 Dec Outstanding? (Y/N)</t>
        </is>
      </c>
      <c r="E14" s="9" t="inlineStr">
        <is>
          <t>Actually Included? (Y/N)</t>
        </is>
      </c>
      <c r="F14" s="9" t="inlineStr">
        <is>
          <t>Grace End Date</t>
        </is>
      </c>
      <c r="G14" s="9" t="inlineStr">
        <is>
          <t>Subsequent Status</t>
        </is>
      </c>
      <c r="H14" s="9" t="inlineStr">
        <is>
          <t>Exception? (Y/N)</t>
        </is>
      </c>
      <c r="I14" s="9" t="inlineStr">
        <is>
          <t>Remarks</t>
        </is>
      </c>
    </row>
    <row r="15">
      <c r="A15" s="6" t="n">
        <v>1</v>
      </c>
      <c r="B15" s="6" t="inlineStr">
        <is>
          <t>POLCUT001</t>
        </is>
      </c>
      <c r="C15" s="6" t="inlineStr">
        <is>
          <t>2025-12-20</t>
        </is>
      </c>
      <c r="D15" s="6" t="inlineStr">
        <is>
          <t>Y</t>
        </is>
      </c>
      <c r="E15" s="6" t="inlineStr"/>
      <c r="F15" s="6" t="inlineStr"/>
      <c r="G15" s="6" t="inlineStr"/>
      <c r="H15" s="6" t="inlineStr"/>
      <c r="I15" s="6" t="inlineStr">
        <is>
          <t>Due before year end - should be included</t>
        </is>
      </c>
    </row>
    <row r="16">
      <c r="A16" s="6" t="n">
        <v>2</v>
      </c>
      <c r="B16" s="6" t="inlineStr">
        <is>
          <t>POLCUT002</t>
        </is>
      </c>
      <c r="C16" s="6" t="inlineStr">
        <is>
          <t>2025-12-31</t>
        </is>
      </c>
      <c r="D16" s="6" t="inlineStr">
        <is>
          <t>Y</t>
        </is>
      </c>
      <c r="E16" s="6" t="inlineStr"/>
      <c r="F16" s="6" t="inlineStr"/>
      <c r="G16" s="6" t="inlineStr"/>
      <c r="H16" s="6" t="inlineStr"/>
      <c r="I16" s="6" t="inlineStr">
        <is>
          <t>Due on year end - should be included</t>
        </is>
      </c>
    </row>
    <row r="17">
      <c r="A17" s="6" t="n">
        <v>3</v>
      </c>
      <c r="B17" s="6" t="inlineStr">
        <is>
          <t>POLCUT003</t>
        </is>
      </c>
      <c r="C17" s="6" t="inlineStr">
        <is>
          <t>2026-01-05</t>
        </is>
      </c>
      <c r="D17" s="6" t="inlineStr">
        <is>
          <t>N</t>
        </is>
      </c>
      <c r="E17" s="6" t="inlineStr"/>
      <c r="F17" s="6" t="inlineStr"/>
      <c r="G17" s="6" t="inlineStr"/>
      <c r="H17" s="6" t="inlineStr"/>
      <c r="I17" s="6" t="inlineStr">
        <is>
          <t>Due after year end - should NOT be included</t>
        </is>
      </c>
    </row>
    <row r="18">
      <c r="A18" s="6" t="n">
        <v>4</v>
      </c>
      <c r="B18" s="6" t="inlineStr">
        <is>
          <t>POLCUT004</t>
        </is>
      </c>
      <c r="C18" s="6" t="inlineStr">
        <is>
          <t>2025-12-15</t>
        </is>
      </c>
      <c r="D18" s="6" t="inlineStr">
        <is>
          <t>Y</t>
        </is>
      </c>
      <c r="E18" s="6" t="inlineStr"/>
      <c r="F18" s="6" t="inlineStr"/>
      <c r="G18" s="6" t="inlineStr"/>
      <c r="H18" s="6" t="inlineStr"/>
      <c r="I18" s="6" t="inlineStr"/>
    </row>
    <row r="20">
      <c r="A20" s="7" t="inlineStr">
        <is>
          <t>B. Other Checks</t>
        </is>
      </c>
    </row>
    <row r="21">
      <c r="A21" t="inlineStr">
        <is>
          <t>Check</t>
        </is>
      </c>
      <c r="B21" t="inlineStr">
        <is>
          <t>Procedure</t>
        </is>
      </c>
      <c r="C21" t="inlineStr">
        <is>
          <t>Result</t>
        </is>
      </c>
      <c r="D21" t="inlineStr">
        <is>
          <t>Exception?</t>
        </is>
      </c>
    </row>
    <row r="22">
      <c r="A22" s="10" t="inlineStr">
        <is>
          <t>Duplicate Policy Check</t>
        </is>
      </c>
      <c r="B22" s="10" t="inlineStr">
        <is>
          <t>Use COUNTIF on Policy No in Aging sheet - =COUNTIF(B:B,B14)&gt;1</t>
        </is>
      </c>
      <c r="C22" s="10" t="inlineStr"/>
      <c r="D22" s="10" t="inlineStr"/>
    </row>
    <row r="23">
      <c r="A23" s="6" t="inlineStr">
        <is>
          <t>Negative Outstanding Check</t>
        </is>
      </c>
      <c r="B23" s="6" t="inlineStr">
        <is>
          <t>Filter Due Amount &lt;0 in Aging sheet</t>
        </is>
      </c>
      <c r="C23" s="6" t="inlineStr"/>
      <c r="D23" s="6" t="inlineStr"/>
    </row>
    <row r="24">
      <c r="A24" s="6" t="inlineStr">
        <is>
          <t>Lapsed Policy Cross-check</t>
        </is>
      </c>
      <c r="B24" s="6" t="inlineStr">
        <is>
          <t>Obtain lapsed list as at 31 Dec 2025 and VLOOKUP with outstanding list - any match is exception</t>
        </is>
      </c>
      <c r="C24" s="6" t="inlineStr"/>
      <c r="D24" s="6" t="inlineStr"/>
    </row>
    <row r="25">
      <c r="A25" s="6" t="inlineStr">
        <is>
          <t>Zero Cash Value but Loan Created? (Logic failure)</t>
        </is>
      </c>
      <c r="B25" s="6" t="inlineStr">
        <is>
          <t>Filter where Cash Value =0 but Mode=Policy Loan in Subsequent sheet</t>
        </is>
      </c>
      <c r="C25" s="6" t="inlineStr"/>
      <c r="D25" s="6" t="inlineStr"/>
    </row>
    <row r="26">
      <c r="A26" s="6" t="inlineStr">
        <is>
          <t>Grace &gt;90 days included? (Overstatement)</t>
        </is>
      </c>
      <c r="B26" s="6" t="inlineStr">
        <is>
          <t>Filter Aging Bucket = &gt;90 in Aging sheet - should be zero</t>
        </is>
      </c>
      <c r="C26" s="6" t="inlineStr"/>
      <c r="D26" s="6" t="inlineStr"/>
    </row>
    <row r="28">
      <c r="A28" s="7" t="inlineStr">
        <is>
          <t>C. Analytical Procedures</t>
        </is>
      </c>
    </row>
    <row r="29">
      <c r="A29" s="9" t="inlineStr">
        <is>
          <t>Particulars</t>
        </is>
      </c>
      <c r="B29" s="9" t="inlineStr">
        <is>
          <t>31 Dec 2025 (BDT)</t>
        </is>
      </c>
      <c r="C29" s="9" t="inlineStr">
        <is>
          <t>31 Dec 2024 (BDT)</t>
        </is>
      </c>
      <c r="D29" s="9" t="inlineStr">
        <is>
          <t>Change (BDT)</t>
        </is>
      </c>
      <c r="E29" s="9" t="inlineStr">
        <is>
          <t>Change %</t>
        </is>
      </c>
      <c r="F29" s="9" t="inlineStr">
        <is>
          <t>Benchmark / Expected</t>
        </is>
      </c>
      <c r="G29" s="9" t="inlineStr">
        <is>
          <t>Reason for Variance</t>
        </is>
      </c>
      <c r="H29" s="9" t="inlineStr">
        <is>
          <t>Auditor Comment</t>
        </is>
      </c>
    </row>
    <row r="30">
      <c r="A30" s="6" t="inlineStr">
        <is>
          <t>Gross Premium Income (Annual)</t>
        </is>
      </c>
      <c r="B30" s="6" t="inlineStr"/>
      <c r="C30" s="6" t="inlineStr"/>
      <c r="D30" s="6">
        <f>B{r}-C{r}</f>
        <v/>
      </c>
      <c r="E30" s="6">
        <f>IF(C{r}=0,"",D{r}/C{r})</f>
        <v/>
      </c>
      <c r="F30" s="6" t="inlineStr"/>
      <c r="G30" s="6" t="inlineStr"/>
      <c r="H30" s="6" t="inlineStr"/>
    </row>
    <row r="31">
      <c r="A31" s="6" t="inlineStr">
        <is>
          <t>Net Outstanding Premium</t>
        </is>
      </c>
      <c r="B31" s="6" t="n">
        <v>1435719236</v>
      </c>
      <c r="C31" s="6" t="n">
        <v>1200000000</v>
      </c>
      <c r="D31" s="6">
        <f>B{r}-C{r}</f>
        <v/>
      </c>
      <c r="E31" s="6">
        <f>IF(C{r}=0,"",D{r}/C{r})</f>
        <v/>
      </c>
      <c r="F31" s="6" t="inlineStr">
        <is>
          <t>Industry 2-5% of gross</t>
        </is>
      </c>
      <c r="G31" s="6" t="inlineStr"/>
      <c r="H31" s="6" t="inlineStr"/>
    </row>
    <row r="32">
      <c r="A32" s="6" t="inlineStr">
        <is>
          <t>Outstanding as % of Gross Premium</t>
        </is>
      </c>
      <c r="B32" s="6">
        <f>B{r-1}/B{r-2}</f>
        <v/>
      </c>
      <c r="C32" s="6">
        <f>C{r-1}/C{r-2}</f>
        <v/>
      </c>
      <c r="D32" s="6" t="inlineStr"/>
      <c r="E32" s="6" t="inlineStr"/>
      <c r="F32" s="6" t="inlineStr"/>
      <c r="G32" s="6" t="inlineStr"/>
      <c r="H32" s="6" t="inlineStr"/>
    </row>
    <row r="33">
      <c r="A33" s="6" t="inlineStr">
        <is>
          <t>First Year Outstanding</t>
        </is>
      </c>
      <c r="B33" s="6" t="n">
        <v>350000000</v>
      </c>
      <c r="C33" s="6" t="inlineStr"/>
      <c r="D33" s="6" t="inlineStr"/>
      <c r="E33" s="6" t="inlineStr"/>
      <c r="F33" s="6" t="inlineStr"/>
      <c r="G33" s="6" t="inlineStr"/>
      <c r="H33" s="6" t="inlineStr"/>
    </row>
    <row r="34">
      <c r="A34" s="6" t="inlineStr">
        <is>
          <t>Renewal Outstanding</t>
        </is>
      </c>
      <c r="B34" s="6" t="n">
        <v>1085719236</v>
      </c>
      <c r="C34" s="6" t="inlineStr"/>
      <c r="D34" s="6" t="inlineStr"/>
      <c r="E34" s="6" t="inlineStr"/>
      <c r="F34" s="6" t="inlineStr"/>
      <c r="G34" s="6" t="inlineStr"/>
      <c r="H34" s="6" t="inlineStr"/>
    </row>
    <row r="35">
      <c r="A35" s="6" t="inlineStr">
        <is>
          <t>First Year Outstanding as % of First Year Premium</t>
        </is>
      </c>
      <c r="B35" s="6" t="inlineStr"/>
      <c r="C35" s="6" t="inlineStr"/>
      <c r="D35" s="6" t="inlineStr"/>
      <c r="E35" s="6" t="inlineStr"/>
      <c r="F35" s="6" t="inlineStr"/>
      <c r="G35" s="6" t="inlineStr"/>
      <c r="H35" s="6" t="inlineStr"/>
    </row>
    <row r="36">
      <c r="A36" s="6" t="inlineStr">
        <is>
          <t>Renewal Outstanding as % of Renewal Premium</t>
        </is>
      </c>
      <c r="B36" s="6" t="inlineStr"/>
      <c r="C36" s="6" t="inlineStr"/>
      <c r="D36" s="6" t="inlineStr"/>
      <c r="E36" s="6" t="inlineStr"/>
      <c r="F36" s="6" t="inlineStr"/>
      <c r="G36" s="6" t="inlineStr"/>
      <c r="H36" s="6" t="inlineStr"/>
    </row>
    <row r="37">
      <c r="A37" s="6" t="inlineStr">
        <is>
          <t>Collection Rate within Grace (Subsequent / Outstanding)</t>
        </is>
      </c>
      <c r="B37" s="6" t="inlineStr"/>
      <c r="C37" s="6" t="inlineStr"/>
      <c r="D37" s="6" t="inlineStr"/>
      <c r="E37" s="6" t="inlineStr"/>
      <c r="F37" s="6" t="inlineStr">
        <is>
          <t>&gt;95% expected</t>
        </is>
      </c>
      <c r="G37" s="6" t="inlineStr"/>
      <c r="H37" s="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18" customWidth="1" min="1" max="1"/>
    <col width="18" customWidth="1" min="2" max="2"/>
    <col width="18" customWidth="1" min="3" max="3"/>
    <col width="3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Summary of Exceptions and Management Letter Points</t>
        </is>
      </c>
    </row>
    <row r="11">
      <c r="A11" s="4" t="inlineStr">
        <is>
          <t>Purpose: To log all exceptions found during testing and assess impact</t>
        </is>
      </c>
    </row>
    <row r="13">
      <c r="A13" s="9" t="inlineStr">
        <is>
          <t>Sl</t>
        </is>
      </c>
      <c r="B13" s="9" t="inlineStr">
        <is>
          <t>WP Ref (Sheet)</t>
        </is>
      </c>
      <c r="C13" s="9" t="inlineStr">
        <is>
          <t>Policy No</t>
        </is>
      </c>
      <c r="D13" s="9" t="inlineStr">
        <is>
          <t>Exception Description</t>
        </is>
      </c>
      <c r="E13" s="9" t="inlineStr">
        <is>
          <t>Amount Involved (BDT)</t>
        </is>
      </c>
      <c r="F13" s="9" t="inlineStr">
        <is>
          <t>Assertion Affected</t>
        </is>
      </c>
      <c r="G13" s="9" t="inlineStr">
        <is>
          <t>Impact on FS (Over/Under)</t>
        </is>
      </c>
      <c r="H13" s="9" t="inlineStr">
        <is>
          <t>Impact on Certificate?</t>
        </is>
      </c>
      <c r="I13" s="9" t="inlineStr">
        <is>
          <t>Management Response</t>
        </is>
      </c>
      <c r="J13" s="9" t="inlineStr">
        <is>
          <t>Auditor Recommendation</t>
        </is>
      </c>
      <c r="K13" s="9" t="inlineStr">
        <is>
          <t>Adjusted? (Y/N)</t>
        </is>
      </c>
      <c r="L13" s="9" t="inlineStr">
        <is>
          <t>Final Status (Open/Closed)</t>
        </is>
      </c>
    </row>
    <row r="14">
      <c r="A14" s="6" t="n">
        <v>1</v>
      </c>
      <c r="B14" s="6" t="n"/>
      <c r="C14" s="6" t="n"/>
      <c r="D14" s="6" t="n"/>
      <c r="E14" s="6" t="n"/>
      <c r="F14" s="6" t="n"/>
      <c r="G14" s="6" t="n"/>
      <c r="H14" s="6" t="n"/>
      <c r="I14" s="6" t="n"/>
      <c r="J14" s="6" t="n"/>
      <c r="K14" s="6" t="n"/>
      <c r="L14" s="6" t="n"/>
    </row>
    <row r="15">
      <c r="A15" s="6" t="n">
        <v>2</v>
      </c>
      <c r="B15" s="6" t="n"/>
      <c r="C15" s="6" t="n"/>
      <c r="D15" s="6" t="n"/>
      <c r="E15" s="6" t="n"/>
      <c r="F15" s="6" t="n"/>
      <c r="G15" s="6" t="n"/>
      <c r="H15" s="6" t="n"/>
      <c r="I15" s="6" t="n"/>
      <c r="J15" s="6" t="n"/>
      <c r="K15" s="6" t="n"/>
      <c r="L15" s="6" t="n"/>
    </row>
    <row r="16">
      <c r="A16" s="6" t="n">
        <v>3</v>
      </c>
      <c r="B16" s="6" t="n"/>
      <c r="C16" s="6" t="n"/>
      <c r="D16" s="6" t="n"/>
      <c r="E16" s="6" t="n"/>
      <c r="F16" s="6" t="n"/>
      <c r="G16" s="6" t="n"/>
      <c r="H16" s="6" t="n"/>
      <c r="I16" s="6" t="n"/>
      <c r="J16" s="6" t="n"/>
      <c r="K16" s="6" t="n"/>
      <c r="L16" s="6" t="n"/>
    </row>
    <row r="17">
      <c r="A17" s="6" t="n">
        <v>4</v>
      </c>
      <c r="B17" s="6" t="n"/>
      <c r="C17" s="6" t="n"/>
      <c r="D17" s="6" t="n"/>
      <c r="E17" s="6" t="n"/>
      <c r="F17" s="6" t="n"/>
      <c r="G17" s="6" t="n"/>
      <c r="H17" s="6" t="n"/>
      <c r="I17" s="6" t="n"/>
      <c r="J17" s="6" t="n"/>
      <c r="K17" s="6" t="n"/>
      <c r="L17" s="6" t="n"/>
    </row>
    <row r="18">
      <c r="A18" s="6" t="n">
        <v>5</v>
      </c>
      <c r="B18" s="6" t="n"/>
      <c r="C18" s="6" t="n"/>
      <c r="D18" s="6" t="n"/>
      <c r="E18" s="6" t="n"/>
      <c r="F18" s="6" t="n"/>
      <c r="G18" s="6" t="n"/>
      <c r="H18" s="6" t="n"/>
      <c r="I18" s="6" t="n"/>
      <c r="J18" s="6" t="n"/>
      <c r="K18" s="6" t="n"/>
      <c r="L18" s="6" t="n"/>
    </row>
    <row r="19">
      <c r="A19" s="6" t="n">
        <v>6</v>
      </c>
      <c r="B19" s="6" t="n"/>
      <c r="C19" s="6" t="n"/>
      <c r="D19" s="6" t="n"/>
      <c r="E19" s="6" t="n"/>
      <c r="F19" s="6" t="n"/>
      <c r="G19" s="6" t="n"/>
      <c r="H19" s="6" t="n"/>
      <c r="I19" s="6" t="n"/>
      <c r="J19" s="6" t="n"/>
      <c r="K19" s="6" t="n"/>
      <c r="L19" s="6" t="n"/>
    </row>
    <row r="20">
      <c r="A20" s="6" t="n">
        <v>7</v>
      </c>
      <c r="B20" s="6" t="n"/>
      <c r="C20" s="6" t="n"/>
      <c r="D20" s="6" t="n"/>
      <c r="E20" s="6" t="n"/>
      <c r="F20" s="6" t="n"/>
      <c r="G20" s="6" t="n"/>
      <c r="H20" s="6" t="n"/>
      <c r="I20" s="6" t="n"/>
      <c r="J20" s="6" t="n"/>
      <c r="K20" s="6" t="n"/>
      <c r="L20" s="6" t="n"/>
    </row>
    <row r="21">
      <c r="A21" s="6" t="n">
        <v>8</v>
      </c>
      <c r="B21" s="6" t="n"/>
      <c r="C21" s="6" t="n"/>
      <c r="D21" s="6" t="n"/>
      <c r="E21" s="6" t="n"/>
      <c r="F21" s="6" t="n"/>
      <c r="G21" s="6" t="n"/>
      <c r="H21" s="6" t="n"/>
      <c r="I21" s="6" t="n"/>
      <c r="J21" s="6" t="n"/>
      <c r="K21" s="6" t="n"/>
      <c r="L21" s="6" t="n"/>
    </row>
    <row r="22">
      <c r="A22" s="6" t="n">
        <v>9</v>
      </c>
      <c r="B22" s="6" t="n"/>
      <c r="C22" s="6" t="n"/>
      <c r="D22" s="6" t="n"/>
      <c r="E22" s="6" t="n"/>
      <c r="F22" s="6" t="n"/>
      <c r="G22" s="6" t="n"/>
      <c r="H22" s="6" t="n"/>
      <c r="I22" s="6" t="n"/>
      <c r="J22" s="6" t="n"/>
      <c r="K22" s="6" t="n"/>
      <c r="L22" s="6" t="n"/>
    </row>
    <row r="23">
      <c r="A23" s="6" t="n">
        <v>10</v>
      </c>
      <c r="B23" s="6" t="n"/>
      <c r="C23" s="6" t="n"/>
      <c r="D23" s="6" t="n"/>
      <c r="E23" s="6" t="n"/>
      <c r="F23" s="6" t="n"/>
      <c r="G23" s="6" t="n"/>
      <c r="H23" s="6" t="n"/>
      <c r="I23" s="6" t="n"/>
      <c r="J23" s="6" t="n"/>
      <c r="K23" s="6" t="n"/>
      <c r="L23" s="6" t="n"/>
    </row>
    <row r="24">
      <c r="A24" s="6" t="n">
        <v>11</v>
      </c>
      <c r="B24" s="6" t="n"/>
      <c r="C24" s="6" t="n"/>
      <c r="D24" s="6" t="n"/>
      <c r="E24" s="6" t="n"/>
      <c r="F24" s="6" t="n"/>
      <c r="G24" s="6" t="n"/>
      <c r="H24" s="6" t="n"/>
      <c r="I24" s="6" t="n"/>
      <c r="J24" s="6" t="n"/>
      <c r="K24" s="6" t="n"/>
      <c r="L24" s="6" t="n"/>
    </row>
    <row r="25">
      <c r="A25" s="6" t="n">
        <v>12</v>
      </c>
      <c r="B25" s="6" t="n"/>
      <c r="C25" s="6" t="n"/>
      <c r="D25" s="6" t="n"/>
      <c r="E25" s="6" t="n"/>
      <c r="F25" s="6" t="n"/>
      <c r="G25" s="6" t="n"/>
      <c r="H25" s="6" t="n"/>
      <c r="I25" s="6" t="n"/>
      <c r="J25" s="6" t="n"/>
      <c r="K25" s="6" t="n"/>
      <c r="L25" s="6" t="n"/>
    </row>
    <row r="26">
      <c r="A26" s="6" t="n">
        <v>13</v>
      </c>
      <c r="B26" s="6" t="n"/>
      <c r="C26" s="6" t="n"/>
      <c r="D26" s="6" t="n"/>
      <c r="E26" s="6" t="n"/>
      <c r="F26" s="6" t="n"/>
      <c r="G26" s="6" t="n"/>
      <c r="H26" s="6" t="n"/>
      <c r="I26" s="6" t="n"/>
      <c r="J26" s="6" t="n"/>
      <c r="K26" s="6" t="n"/>
      <c r="L26" s="6" t="n"/>
    </row>
    <row r="27">
      <c r="A27" s="6" t="n">
        <v>14</v>
      </c>
      <c r="B27" s="6" t="n"/>
      <c r="C27" s="6" t="n"/>
      <c r="D27" s="6" t="n"/>
      <c r="E27" s="6" t="n"/>
      <c r="F27" s="6" t="n"/>
      <c r="G27" s="6" t="n"/>
      <c r="H27" s="6" t="n"/>
      <c r="I27" s="6" t="n"/>
      <c r="J27" s="6" t="n"/>
      <c r="K27" s="6" t="n"/>
      <c r="L27" s="6" t="n"/>
    </row>
    <row r="28">
      <c r="A28" s="6" t="n">
        <v>15</v>
      </c>
      <c r="B28" s="6" t="n"/>
      <c r="C28" s="6" t="n"/>
      <c r="D28" s="6" t="n"/>
      <c r="E28" s="6" t="n"/>
      <c r="F28" s="6" t="n"/>
      <c r="G28" s="6" t="n"/>
      <c r="H28" s="6" t="n"/>
      <c r="I28" s="6" t="n"/>
      <c r="J28" s="6" t="n"/>
      <c r="K28" s="6" t="n"/>
      <c r="L28" s="6"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8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Overall Conclusion and Draft Auditor's Certificate</t>
        </is>
      </c>
    </row>
    <row r="11">
      <c r="A11" s="4" t="inlineStr">
        <is>
          <t>Purpose: To conclude on work performed and draft certificate for outstanding net premium</t>
        </is>
      </c>
    </row>
    <row r="13">
      <c r="A13" s="7" t="inlineStr">
        <is>
          <t>A. Overall Audit Conclusion</t>
        </is>
      </c>
    </row>
    <row r="14">
      <c r="A14" s="8" t="inlineStr">
        <is>
          <t>1. Reconciliation: FS amount Tk. 1,435,719,236 agreed with GL and sub-ledger? [Yes/No - If No, explain]</t>
        </is>
      </c>
    </row>
    <row r="15">
      <c r="A15" s="8" t="inlineStr">
        <is>
          <t>2. Aging: No outstanding premium beyond 90 days grace period as at 31 Dec 2025? [Yes/No]</t>
        </is>
      </c>
    </row>
    <row r="16">
      <c r="A16" s="8" t="inlineStr">
        <is>
          <t>3. Existence: All 5 MUS samples verified to exist and policy in-force as at 31 Dec 2025? [Yes/No]</t>
        </is>
      </c>
    </row>
    <row r="17">
      <c r="A17" s="8" t="inlineStr">
        <is>
          <t>4. Valuation: Premium amounts for 5 samples agreed to policy schedule? [Yes/No]</t>
        </is>
      </c>
    </row>
    <row r="18">
      <c r="A18" s="8" t="inlineStr">
        <is>
          <t>5. Subsequent Realization: 100% of outstanding verified as subsequently realized (Cash/Bank) or adjusted (Policy Loan / Surrender) within 90-day grace period? [Yes/No]</t>
        </is>
      </c>
    </row>
    <row r="19">
      <c r="A19" s="8" t="inlineStr">
        <is>
          <t>6. Policy Loan &amp; Surrender Logic: Auto loan and auto surrender correctly processed for grace-expired policies? [Yes/No]</t>
        </is>
      </c>
    </row>
    <row r="20">
      <c r="A20" s="8" t="inlineStr">
        <is>
          <t>7. Cut-off: Correct cut-off applied? [Yes/No]</t>
        </is>
      </c>
    </row>
    <row r="21">
      <c r="A21" s="8" t="inlineStr">
        <is>
          <t>8. Exceptions: Any material exceptions noted? If yes, summarized in Exceptions sheet. [Yes/No - If Yes, quantify]</t>
        </is>
      </c>
    </row>
    <row r="22">
      <c r="A22" s="8" t="inlineStr">
        <is>
          <t>9. Materiality: Any unadjusted difference &gt; Tolerable Error? [Yes/No]</t>
        </is>
      </c>
    </row>
    <row r="23">
      <c r="A23" s="8" t="inlineStr">
        <is>
          <t>10. Overall Conclusion: Net Outstanding Premium balance of Tk. 1,435,719,236 as at 31 Dec 2025 is fairly stated in all material respects? [Yes/No]</t>
        </is>
      </c>
    </row>
    <row r="25">
      <c r="A25" s="7" t="inlineStr">
        <is>
          <t>B. Draft Auditor's Certificate on Outstanding Net Premium (As per Requirement)</t>
        </is>
      </c>
    </row>
    <row r="26">
      <c r="A26" s="14" t="inlineStr">
        <is>
          <t>AUDITOR'S CERTIFICATE ON OUTSTANDING NET PREMIUM</t>
        </is>
      </c>
    </row>
    <row r="27">
      <c r="A27" s="4" t="inlineStr"/>
    </row>
    <row r="28">
      <c r="A28" s="4" t="inlineStr">
        <is>
          <t>We, as the statutory Auditors of American Life Insurance Company, Bangladesh Branch (the "Company"), Dhaka, Bangladesh, have verified the outstanding net premium of Taka 1,435,719,236 (Taka One Hundred Forty-Three Crore Fifty-Seven Lakh Nineteen Thousand and Two Hundred Thirty-Six) only as at 31 December 2025. To the best of our knowledge and on the basis of information provided to us both the outstanding first year and renewal premium have subsequently been realized or adjusted.</t>
        </is>
      </c>
    </row>
    <row r="29">
      <c r="A29" s="4" t="inlineStr"/>
    </row>
    <row r="30">
      <c r="A30" s="4" t="inlineStr">
        <is>
          <t>Our verification procedures included:</t>
        </is>
      </c>
    </row>
    <row r="31">
      <c r="A31" s="4" t="inlineStr">
        <is>
          <t>1. Obtaining and reconciling the detailed policy-wise outstanding premium list with the general ledger and financial statements.</t>
        </is>
      </c>
    </row>
    <row r="32">
      <c r="A32" s="4" t="inlineStr">
        <is>
          <t>2. Testing the aging and 90-day grace period calculation for the entire population.</t>
        </is>
      </c>
    </row>
    <row r="33">
      <c r="A33" s="4" t="inlineStr">
        <is>
          <t>3. Selecting 5 samples using Monetary Unit Sampling (MUS) and verifying existence, accuracy, and policy status.</t>
        </is>
      </c>
    </row>
    <row r="34">
      <c r="A34" s="4" t="inlineStr">
        <is>
          <t>4. Verifying subsequent realization / adjustment for 100% population up to [Certificate Date - e.g., 31 March 2026]:</t>
        </is>
      </c>
    </row>
    <row r="35">
      <c r="A35" s="4" t="inlineStr">
        <is>
          <t xml:space="preserve">   a) Subsequent collection in cash/bank verified with premium receipts and bank statements.</t>
        </is>
      </c>
    </row>
    <row r="36">
      <c r="A36" s="4" t="inlineStr">
        <is>
          <t xml:space="preserve">   b) Adjustment via automatic policy loan creation verified with policy loan ledger (where cash value available).</t>
        </is>
      </c>
    </row>
    <row r="37">
      <c r="A37" s="4" t="inlineStr">
        <is>
          <t xml:space="preserve">   c) Adjustment via automatic surrender verified with surrender register (where no cash value available).</t>
        </is>
      </c>
    </row>
    <row r="38">
      <c r="A38" s="4" t="inlineStr">
        <is>
          <t>5. Testing cut-off, duplicate checks, and analytical procedures.</t>
        </is>
      </c>
    </row>
    <row r="39">
      <c r="A39" s="4" t="inlineStr"/>
    </row>
    <row r="40">
      <c r="A40" s="4" t="inlineStr">
        <is>
          <t>Breakup of realization / adjustment:</t>
        </is>
      </c>
    </row>
    <row r="41">
      <c r="A41" s="4" t="inlineStr">
        <is>
          <t>Total Outstanding as at 31 Dec 2025: Tk. 1,435,719,236</t>
        </is>
      </c>
    </row>
    <row r="42">
      <c r="A42" s="4" t="inlineStr">
        <is>
          <t xml:space="preserve">  - Realized in Cash/Bank within grace period: Tk. [___] (Refer Subsequent Realization sheet)</t>
        </is>
      </c>
    </row>
    <row r="43">
      <c r="A43" s="4" t="inlineStr">
        <is>
          <t xml:space="preserve">  - Adjusted via Auto Policy Loan: Tk. [___]</t>
        </is>
      </c>
    </row>
    <row r="44">
      <c r="A44" s="4" t="inlineStr">
        <is>
          <t xml:space="preserve">  - Adjusted via Auto Surrender: Tk. [___]</t>
        </is>
      </c>
    </row>
    <row r="45">
      <c r="A45" s="4" t="inlineStr">
        <is>
          <t xml:space="preserve">  - Balance Un-realized: Tk. NIL (Must be NIL for certificate)</t>
        </is>
      </c>
    </row>
    <row r="46">
      <c r="A46" s="4" t="inlineStr"/>
    </row>
    <row r="47">
      <c r="A47" s="4" t="inlineStr">
        <is>
          <t>Based on our verification, the outstanding net premium as at 31 Dec 2025 has been fully realized or adjusted within the 90-day grace period in accordance with policy terms.</t>
        </is>
      </c>
    </row>
    <row r="48">
      <c r="A48" s="4" t="inlineStr"/>
    </row>
    <row r="49">
      <c r="A49" s="4" t="inlineStr">
        <is>
          <t>For Nurul Faruk Hasan &amp; Co.</t>
        </is>
      </c>
    </row>
    <row r="50">
      <c r="A50" s="4" t="inlineStr">
        <is>
          <t>Chartered Accountants</t>
        </is>
      </c>
    </row>
    <row r="51">
      <c r="A51" s="4" t="inlineStr"/>
    </row>
    <row r="52">
      <c r="A52" s="4" t="inlineStr">
        <is>
          <t>Place: Dhaka</t>
        </is>
      </c>
    </row>
    <row r="53">
      <c r="A53" s="4" t="inlineStr">
        <is>
          <t>Date: [Certificate Date]</t>
        </is>
      </c>
    </row>
    <row r="54">
      <c r="A54" s="4" t="inlineStr"/>
    </row>
    <row r="55">
      <c r="A55" s="4" t="inlineStr">
        <is>
          <t>[Signature]</t>
        </is>
      </c>
    </row>
    <row r="56">
      <c r="A56" s="4" t="inlineStr">
        <is>
          <t>Faruk Uddin Ahammed, FCA</t>
        </is>
      </c>
    </row>
    <row r="57">
      <c r="A57" s="4" t="inlineStr">
        <is>
          <t>Partner</t>
        </is>
      </c>
    </row>
    <row r="60">
      <c r="A60" s="7" t="inlineStr">
        <is>
          <t>C. Sign-off</t>
        </is>
      </c>
    </row>
    <row r="61">
      <c r="A61" s="6" t="inlineStr">
        <is>
          <t>Prepared By</t>
        </is>
      </c>
      <c r="B61" s="6" t="inlineStr">
        <is>
          <t>Name:</t>
        </is>
      </c>
      <c r="C61" s="6" t="inlineStr">
        <is>
          <t>Date:</t>
        </is>
      </c>
      <c r="D61" s="6" t="inlineStr">
        <is>
          <t>Signature:</t>
        </is>
      </c>
    </row>
    <row r="62">
      <c r="A62" s="6" t="inlineStr">
        <is>
          <t>Reviewed By</t>
        </is>
      </c>
      <c r="B62" s="6" t="inlineStr">
        <is>
          <t>Name:</t>
        </is>
      </c>
      <c r="C62" s="6" t="inlineStr">
        <is>
          <t>Date:</t>
        </is>
      </c>
      <c r="D62" s="6" t="inlineStr">
        <is>
          <t>Signature:</t>
        </is>
      </c>
    </row>
    <row r="63">
      <c r="A63" s="6" t="inlineStr">
        <is>
          <t>Partner</t>
        </is>
      </c>
      <c r="B63" s="6" t="inlineStr">
        <is>
          <t>Faruk Uddin Ahammed, FCA</t>
        </is>
      </c>
      <c r="C63" s="6" t="inlineStr">
        <is>
          <t>Date:</t>
        </is>
      </c>
      <c r="D63" s="6" t="inlineStr">
        <is>
          <t>Signature:</t>
        </is>
      </c>
    </row>
  </sheetData>
  <mergeCells count="42">
    <mergeCell ref="A48:H48"/>
    <mergeCell ref="A30:H30"/>
    <mergeCell ref="A39:H39"/>
    <mergeCell ref="A15:H15"/>
    <mergeCell ref="A51:H51"/>
    <mergeCell ref="A36:H36"/>
    <mergeCell ref="A49:H49"/>
    <mergeCell ref="A45:H45"/>
    <mergeCell ref="A16:H16"/>
    <mergeCell ref="A54:H54"/>
    <mergeCell ref="A41:H41"/>
    <mergeCell ref="A37:H37"/>
    <mergeCell ref="A46:H46"/>
    <mergeCell ref="A27:H27"/>
    <mergeCell ref="A18:H18"/>
    <mergeCell ref="A50:H50"/>
    <mergeCell ref="A56:H56"/>
    <mergeCell ref="A26:H26"/>
    <mergeCell ref="A21:H21"/>
    <mergeCell ref="A55:H55"/>
    <mergeCell ref="A57:H57"/>
    <mergeCell ref="A42:H42"/>
    <mergeCell ref="A33:H33"/>
    <mergeCell ref="A14:H14"/>
    <mergeCell ref="A47:H47"/>
    <mergeCell ref="A23:H23"/>
    <mergeCell ref="A32:H32"/>
    <mergeCell ref="A22:H22"/>
    <mergeCell ref="A17:H17"/>
    <mergeCell ref="A40:H40"/>
    <mergeCell ref="A53:H53"/>
    <mergeCell ref="A29:H29"/>
    <mergeCell ref="A35:H35"/>
    <mergeCell ref="A20:H20"/>
    <mergeCell ref="A38:H38"/>
    <mergeCell ref="A43:H43"/>
    <mergeCell ref="A52:H52"/>
    <mergeCell ref="A28:H28"/>
    <mergeCell ref="A19:H19"/>
    <mergeCell ref="A44:H44"/>
    <mergeCell ref="A31:H31"/>
    <mergeCell ref="A34:H3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8" customWidth="1" min="1" max="1"/>
    <col width="55"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Nurul Faruk Hasan &amp; Co</t>
        </is>
      </c>
    </row>
    <row r="2">
      <c r="A2" s="2" t="inlineStr">
        <is>
          <t>Chartered Accountants</t>
        </is>
      </c>
    </row>
    <row r="4">
      <c r="A4" s="3" t="inlineStr">
        <is>
          <t>Client name: American Life Insurance Company, Bangladesh Branch (MetLife)</t>
        </is>
      </c>
    </row>
    <row r="5">
      <c r="A5" s="3" t="inlineStr">
        <is>
          <t>Accounting period: 01 January 2025 to 31 December 2025</t>
        </is>
      </c>
    </row>
    <row r="6">
      <c r="A6" t="inlineStr">
        <is>
          <t>Prepared by: [Name]</t>
        </is>
      </c>
      <c r="G6" t="inlineStr">
        <is>
          <t>Date: [DD/MM/YYYY]</t>
        </is>
      </c>
    </row>
    <row r="7">
      <c r="A7" t="inlineStr">
        <is>
          <t>Reviewed by: [Name]</t>
        </is>
      </c>
      <c r="G7" t="inlineStr">
        <is>
          <t>Date: [DD/MM/YYYY]</t>
        </is>
      </c>
    </row>
    <row r="8">
      <c r="A8" t="inlineStr">
        <is>
          <t>Further reviewed by: Faruk Uddin Ahammed, FCA</t>
        </is>
      </c>
      <c r="G8" t="inlineStr">
        <is>
          <t>Date: [DD/MM/YYYY]</t>
        </is>
      </c>
    </row>
    <row r="10">
      <c r="A10" s="2" t="inlineStr">
        <is>
          <t>Subject: PBC List - Documents Obtained and Pending</t>
        </is>
      </c>
    </row>
    <row r="11">
      <c r="A11" s="4" t="inlineStr">
        <is>
          <t>Purpose: To track PBC requests for outstanding premium audit</t>
        </is>
      </c>
    </row>
    <row r="13">
      <c r="A13" s="9" t="inlineStr">
        <is>
          <t>Sl</t>
        </is>
      </c>
      <c r="B13" s="9" t="inlineStr">
        <is>
          <t>Document Description</t>
        </is>
      </c>
      <c r="C13" s="9" t="inlineStr">
        <is>
          <t>Requested Date</t>
        </is>
      </c>
      <c r="D13" s="9" t="inlineStr">
        <is>
          <t>Received Date</t>
        </is>
      </c>
      <c r="E13" s="9" t="inlineStr">
        <is>
          <t>Received From</t>
        </is>
      </c>
      <c r="F13" s="9" t="inlineStr">
        <is>
          <t>Format (Excel/PDF)</t>
        </is>
      </c>
      <c r="G13" s="9" t="inlineStr">
        <is>
          <t>WP Ref</t>
        </is>
      </c>
      <c r="H13" s="9" t="inlineStr">
        <is>
          <t>Status (Received/Pending)</t>
        </is>
      </c>
      <c r="I13" s="9" t="inlineStr">
        <is>
          <t>Remarks</t>
        </is>
      </c>
    </row>
    <row r="14">
      <c r="A14" s="6" t="inlineStr">
        <is>
          <t>1</t>
        </is>
      </c>
      <c r="B14" s="6" t="inlineStr">
        <is>
          <t>Detailed outstanding premium list as at 31 Dec 2025 (policy-wise) - with due date, amount, FY/RN, product</t>
        </is>
      </c>
      <c r="C14" s="6" t="inlineStr"/>
      <c r="D14" s="6" t="inlineStr"/>
      <c r="E14" s="6" t="inlineStr"/>
      <c r="F14" s="6" t="inlineStr">
        <is>
          <t>Excel</t>
        </is>
      </c>
      <c r="G14" s="6" t="inlineStr">
        <is>
          <t>Aging</t>
        </is>
      </c>
      <c r="H14" s="6" t="inlineStr"/>
      <c r="I14" s="6" t="inlineStr">
        <is>
          <t>Critical - Population</t>
        </is>
      </c>
    </row>
    <row r="15">
      <c r="A15" s="6" t="inlineStr">
        <is>
          <t>2</t>
        </is>
      </c>
      <c r="B15" s="6" t="inlineStr">
        <is>
          <t>Trial Balance / GL Ledger for Outstanding Premium GL codes</t>
        </is>
      </c>
      <c r="C15" s="6" t="inlineStr"/>
      <c r="D15" s="6" t="inlineStr"/>
      <c r="E15" s="6" t="inlineStr"/>
      <c r="F15" s="6" t="inlineStr">
        <is>
          <t>Excel</t>
        </is>
      </c>
      <c r="G15" s="6" t="inlineStr">
        <is>
          <t>GL Rec</t>
        </is>
      </c>
      <c r="H15" s="6" t="inlineStr"/>
      <c r="I15" s="6" t="inlineStr"/>
    </row>
    <row r="16">
      <c r="A16" s="6" t="inlineStr">
        <is>
          <t>3</t>
        </is>
      </c>
      <c r="B16" s="6" t="inlineStr">
        <is>
          <t>Policy Admin System screenshot / report for policy status for 5 MUS samples</t>
        </is>
      </c>
      <c r="C16" s="6" t="inlineStr"/>
      <c r="D16" s="6" t="inlineStr"/>
      <c r="E16" s="6" t="inlineStr"/>
      <c r="F16" s="6" t="inlineStr">
        <is>
          <t>PDF/Screenshot</t>
        </is>
      </c>
      <c r="G16" s="6" t="inlineStr">
        <is>
          <t>Sample Testing</t>
        </is>
      </c>
      <c r="H16" s="6" t="inlineStr"/>
      <c r="I16" s="6" t="inlineStr"/>
    </row>
    <row r="17">
      <c r="A17" s="6" t="inlineStr">
        <is>
          <t>4</t>
        </is>
      </c>
      <c r="B17" s="6" t="inlineStr">
        <is>
          <t>Policy schedule / premium table for 5 samples</t>
        </is>
      </c>
      <c r="C17" s="6" t="inlineStr"/>
      <c r="D17" s="6" t="inlineStr"/>
      <c r="E17" s="6" t="inlineStr"/>
      <c r="F17" s="6" t="inlineStr">
        <is>
          <t>PDF</t>
        </is>
      </c>
      <c r="G17" s="6" t="inlineStr">
        <is>
          <t>Sample Testing</t>
        </is>
      </c>
      <c r="H17" s="6" t="inlineStr"/>
      <c r="I17" s="6" t="inlineStr"/>
    </row>
    <row r="18">
      <c r="A18" s="6" t="inlineStr">
        <is>
          <t>5</t>
        </is>
      </c>
      <c r="B18" s="6" t="inlineStr">
        <is>
          <t>Subsequent premium collection report from 01 Jan 2026 to 31 Mar 2026 (receipt date, amount, mode)</t>
        </is>
      </c>
      <c r="C18" s="6" t="inlineStr"/>
      <c r="D18" s="6" t="inlineStr"/>
      <c r="E18" s="6" t="inlineStr"/>
      <c r="F18" s="6" t="inlineStr">
        <is>
          <t>Excel</t>
        </is>
      </c>
      <c r="G18" s="6" t="inlineStr">
        <is>
          <t>Subsequent</t>
        </is>
      </c>
      <c r="H18" s="6" t="inlineStr"/>
      <c r="I18" s="6" t="inlineStr">
        <is>
          <t>For certificate - 100%</t>
        </is>
      </c>
    </row>
    <row r="19">
      <c r="A19" s="6" t="inlineStr">
        <is>
          <t>6</t>
        </is>
      </c>
      <c r="B19" s="6" t="inlineStr">
        <is>
          <t>Bank statements for subsequent collections (sample)</t>
        </is>
      </c>
      <c r="C19" s="6" t="inlineStr"/>
      <c r="D19" s="6" t="inlineStr"/>
      <c r="E19" s="6" t="inlineStr"/>
      <c r="F19" s="6" t="inlineStr">
        <is>
          <t>PDF</t>
        </is>
      </c>
      <c r="G19" s="6" t="inlineStr">
        <is>
          <t>Subsequent</t>
        </is>
      </c>
      <c r="H19" s="6" t="inlineStr"/>
      <c r="I19" s="6" t="inlineStr"/>
    </row>
    <row r="20">
      <c r="A20" s="6" t="inlineStr">
        <is>
          <t>7</t>
        </is>
      </c>
      <c r="B20" s="6" t="inlineStr">
        <is>
          <t>Policy loan ledger / report for auto loans created Jan-Mar 2026</t>
        </is>
      </c>
      <c r="C20" s="6" t="inlineStr"/>
      <c r="D20" s="6" t="inlineStr"/>
      <c r="E20" s="6" t="inlineStr"/>
      <c r="F20" s="6" t="inlineStr">
        <is>
          <t>Excel</t>
        </is>
      </c>
      <c r="G20" s="6" t="inlineStr">
        <is>
          <t>Loan &amp; Surrender</t>
        </is>
      </c>
      <c r="H20" s="6" t="inlineStr"/>
      <c r="I20" s="6" t="inlineStr"/>
    </row>
    <row r="21">
      <c r="A21" s="6" t="inlineStr">
        <is>
          <t>8</t>
        </is>
      </c>
      <c r="B21" s="6" t="inlineStr">
        <is>
          <t>Surrender register for auto surrenders Jan-Mar 2026</t>
        </is>
      </c>
      <c r="C21" s="6" t="inlineStr"/>
      <c r="D21" s="6" t="inlineStr"/>
      <c r="E21" s="6" t="inlineStr"/>
      <c r="F21" s="6" t="inlineStr">
        <is>
          <t>Excel</t>
        </is>
      </c>
      <c r="G21" s="6" t="inlineStr">
        <is>
          <t>Loan &amp; Surrender</t>
        </is>
      </c>
      <c r="H21" s="6" t="inlineStr"/>
      <c r="I21" s="6" t="inlineStr"/>
    </row>
    <row r="22">
      <c r="A22" s="6" t="inlineStr">
        <is>
          <t>9</t>
        </is>
      </c>
      <c r="B22" s="6" t="inlineStr">
        <is>
          <t>Cash value report as at grace end dates for sample policies</t>
        </is>
      </c>
      <c r="C22" s="6" t="inlineStr"/>
      <c r="D22" s="6" t="inlineStr"/>
      <c r="E22" s="6" t="inlineStr"/>
      <c r="F22" s="6" t="inlineStr">
        <is>
          <t>Excel</t>
        </is>
      </c>
      <c r="G22" s="6" t="inlineStr">
        <is>
          <t>Loan &amp; Surrender</t>
        </is>
      </c>
      <c r="H22" s="6" t="inlineStr"/>
      <c r="I22" s="6" t="inlineStr"/>
    </row>
    <row r="23">
      <c r="A23" s="6" t="inlineStr">
        <is>
          <t>10</t>
        </is>
      </c>
      <c r="B23" s="6" t="inlineStr">
        <is>
          <t>Lapsed policy list as at 31 Dec 2025</t>
        </is>
      </c>
      <c r="C23" s="6" t="inlineStr"/>
      <c r="D23" s="6" t="inlineStr"/>
      <c r="E23" s="6" t="inlineStr"/>
      <c r="F23" s="6" t="inlineStr">
        <is>
          <t>Excel</t>
        </is>
      </c>
      <c r="G23" s="6" t="inlineStr">
        <is>
          <t>Cut-off</t>
        </is>
      </c>
      <c r="H23" s="6" t="inlineStr"/>
      <c r="I23" s="6" t="inlineStr"/>
    </row>
    <row r="24">
      <c r="A24" s="6" t="inlineStr">
        <is>
          <t>11</t>
        </is>
      </c>
      <c r="B24" s="6" t="inlineStr">
        <is>
          <t>Premium income and outstanding movement analysis (PY vs CY)</t>
        </is>
      </c>
      <c r="C24" s="6" t="inlineStr"/>
      <c r="D24" s="6" t="inlineStr"/>
      <c r="E24" s="6" t="inlineStr"/>
      <c r="F24" s="6" t="inlineStr">
        <is>
          <t>Excel</t>
        </is>
      </c>
      <c r="G24" s="6" t="inlineStr">
        <is>
          <t>Analytics</t>
        </is>
      </c>
      <c r="H24" s="6" t="inlineStr"/>
      <c r="I24" s="6" t="inlineStr"/>
    </row>
    <row r="25">
      <c r="A25" s="6" t="inlineStr">
        <is>
          <t>12</t>
        </is>
      </c>
      <c r="B25" s="6" t="inlineStr">
        <is>
          <t>IT system logic document for auto policy loan and auto surrender batch job</t>
        </is>
      </c>
      <c r="C25" s="6" t="inlineStr"/>
      <c r="D25" s="6" t="inlineStr"/>
      <c r="E25" s="6" t="inlineStr"/>
      <c r="F25" s="6" t="inlineStr">
        <is>
          <t>PDF</t>
        </is>
      </c>
      <c r="G25" s="6" t="inlineStr">
        <is>
          <t>Loan &amp; Surrender</t>
        </is>
      </c>
      <c r="H25" s="6" t="inlineStr"/>
      <c r="I25" s="6" t="inlineStr"/>
    </row>
    <row r="26">
      <c r="A26" s="6" t="inlineStr">
        <is>
          <t>13</t>
        </is>
      </c>
      <c r="B26" s="6" t="inlineStr">
        <is>
          <t>Management Representation Letter for Outstanding Premium</t>
        </is>
      </c>
      <c r="C26" s="6" t="inlineStr"/>
      <c r="D26" s="6" t="inlineStr"/>
      <c r="E26" s="6" t="inlineStr"/>
      <c r="F26" s="6" t="inlineStr">
        <is>
          <t>PDF</t>
        </is>
      </c>
      <c r="G26" s="6" t="inlineStr">
        <is>
          <t>Conclusion</t>
        </is>
      </c>
      <c r="H26" s="6" t="inlineStr"/>
      <c r="I26"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2026-09-15T06:00:23Z</dcterms:created>
  <dcterms:modified xsi:type="dcterms:W3CDTF">2026-09-15T06:00:23Z</dcterms:modified>
</cp:coreProperties>
</file>